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A Sites\Askari\"/>
    </mc:Choice>
  </mc:AlternateContent>
  <xr:revisionPtr revIDLastSave="0" documentId="13_ncr:1_{15B20E03-6D65-4A28-80AD-C254C1890590}" xr6:coauthVersionLast="47" xr6:coauthVersionMax="47" xr10:uidLastSave="{00000000-0000-0000-0000-000000000000}"/>
  <bookViews>
    <workbookView xWindow="-110" yWindow="-110" windowWidth="19420" windowHeight="10300" xr2:uid="{282E0613-532B-4590-868C-AE57CC8E30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3" i="1" l="1"/>
  <c r="H92" i="1"/>
  <c r="H91" i="1"/>
  <c r="H90" i="1"/>
  <c r="H89" i="1"/>
  <c r="H88" i="1"/>
  <c r="B88" i="1"/>
  <c r="B89" i="1" s="1"/>
  <c r="B90" i="1" s="1"/>
  <c r="B91" i="1" s="1"/>
  <c r="B92" i="1" s="1"/>
  <c r="B93" i="1" s="1"/>
  <c r="B94" i="1" s="1"/>
  <c r="B95" i="1" s="1"/>
  <c r="B96" i="1" s="1"/>
  <c r="H87" i="1"/>
  <c r="H95" i="1" s="1"/>
  <c r="I95" i="1" s="1"/>
  <c r="H83" i="1"/>
  <c r="H82" i="1"/>
  <c r="H81" i="1"/>
  <c r="H80" i="1"/>
  <c r="H79" i="1"/>
  <c r="H78" i="1"/>
  <c r="H77" i="1"/>
  <c r="H76" i="1"/>
  <c r="H75" i="1"/>
  <c r="H74" i="1"/>
  <c r="H73" i="1"/>
  <c r="B73" i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H72" i="1"/>
  <c r="H70" i="1"/>
  <c r="H69" i="1"/>
  <c r="H60" i="1" s="1"/>
  <c r="I60" i="1" s="1"/>
  <c r="H68" i="1"/>
  <c r="H67" i="1"/>
  <c r="H66" i="1"/>
  <c r="H65" i="1"/>
  <c r="H64" i="1"/>
  <c r="H63" i="1"/>
  <c r="H62" i="1"/>
  <c r="B62" i="1"/>
  <c r="B63" i="1" s="1"/>
  <c r="B64" i="1" s="1"/>
  <c r="B65" i="1" s="1"/>
  <c r="B66" i="1" s="1"/>
  <c r="B67" i="1" s="1"/>
  <c r="B68" i="1" s="1"/>
  <c r="B69" i="1" s="1"/>
  <c r="B70" i="1" s="1"/>
  <c r="H61" i="1"/>
  <c r="H59" i="1"/>
  <c r="H58" i="1"/>
  <c r="H57" i="1"/>
  <c r="H56" i="1"/>
  <c r="H55" i="1"/>
  <c r="B55" i="1"/>
  <c r="B56" i="1" s="1"/>
  <c r="B57" i="1" s="1"/>
  <c r="B58" i="1" s="1"/>
  <c r="B59" i="1" s="1"/>
  <c r="H54" i="1"/>
  <c r="H53" i="1"/>
  <c r="I53" i="1" s="1"/>
  <c r="H52" i="1"/>
  <c r="H51" i="1"/>
  <c r="H50" i="1"/>
  <c r="H49" i="1"/>
  <c r="H48" i="1"/>
  <c r="H47" i="1"/>
  <c r="H46" i="1"/>
  <c r="H45" i="1"/>
  <c r="H44" i="1"/>
  <c r="H43" i="1"/>
  <c r="H35" i="1" s="1"/>
  <c r="I35" i="1" s="1"/>
  <c r="H42" i="1"/>
  <c r="H41" i="1"/>
  <c r="H40" i="1"/>
  <c r="H39" i="1"/>
  <c r="H38" i="1"/>
  <c r="H37" i="1"/>
  <c r="B37" i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H36" i="1"/>
  <c r="H34" i="1"/>
  <c r="H33" i="1"/>
  <c r="B33" i="1"/>
  <c r="B34" i="1" s="1"/>
  <c r="H32" i="1"/>
  <c r="H31" i="1"/>
  <c r="I31" i="1" s="1"/>
  <c r="H30" i="1"/>
  <c r="H29" i="1"/>
  <c r="H28" i="1"/>
  <c r="H27" i="1"/>
  <c r="H26" i="1"/>
  <c r="H25" i="1"/>
  <c r="B25" i="1"/>
  <c r="B26" i="1" s="1"/>
  <c r="B27" i="1" s="1"/>
  <c r="B28" i="1" s="1"/>
  <c r="B29" i="1" s="1"/>
  <c r="B30" i="1" s="1"/>
  <c r="H24" i="1"/>
  <c r="H23" i="1" s="1"/>
  <c r="I23" i="1" s="1"/>
  <c r="H22" i="1"/>
  <c r="H21" i="1"/>
  <c r="H20" i="1"/>
  <c r="H19" i="1"/>
  <c r="H18" i="1"/>
  <c r="B18" i="1"/>
  <c r="B19" i="1" s="1"/>
  <c r="B20" i="1" s="1"/>
  <c r="B21" i="1" s="1"/>
  <c r="B22" i="1" s="1"/>
  <c r="H17" i="1"/>
  <c r="H16" i="1"/>
  <c r="I15" i="1"/>
  <c r="H15" i="1"/>
  <c r="H14" i="1"/>
  <c r="H71" i="1" l="1"/>
  <c r="I16" i="1"/>
  <c r="I71" i="1" l="1"/>
  <c r="H84" i="1"/>
  <c r="H96" i="1" s="1"/>
</calcChain>
</file>

<file path=xl/sharedStrings.xml><?xml version="1.0" encoding="utf-8"?>
<sst xmlns="http://schemas.openxmlformats.org/spreadsheetml/2006/main" count="276" uniqueCount="161">
  <si>
    <t>Project
Name</t>
  </si>
  <si>
    <t>Client</t>
  </si>
  <si>
    <t>Askari Bank</t>
  </si>
  <si>
    <t>Region</t>
  </si>
  <si>
    <t>Mob #</t>
  </si>
  <si>
    <t>Item No.</t>
  </si>
  <si>
    <t>Description</t>
  </si>
  <si>
    <t xml:space="preserve">Brand </t>
  </si>
  <si>
    <t>UOM</t>
  </si>
  <si>
    <t>QTY</t>
  </si>
  <si>
    <t>Cost</t>
  </si>
  <si>
    <t xml:space="preserve">Canadian </t>
  </si>
  <si>
    <t>Panel</t>
  </si>
  <si>
    <t>Pcs</t>
  </si>
  <si>
    <t xml:space="preserve">Pylontech </t>
  </si>
  <si>
    <t>EA</t>
  </si>
  <si>
    <t xml:space="preserve">Fast/Pakistan </t>
  </si>
  <si>
    <t>Meter</t>
  </si>
  <si>
    <t>Thimble 35 mm O type</t>
  </si>
  <si>
    <t>Copper</t>
  </si>
  <si>
    <t>Thimble 35 mm I type</t>
  </si>
  <si>
    <t xml:space="preserve">Battery Breaker 125 A </t>
  </si>
  <si>
    <t xml:space="preserve">Chint </t>
  </si>
  <si>
    <t>AC SPD 2 Pole , Chint</t>
  </si>
  <si>
    <t>DC Breaker 2 Pole, 16 A, Chint, 500 v</t>
  </si>
  <si>
    <t>DC SPD ,Chint 2 pole</t>
  </si>
  <si>
    <t>Changeover 3 pole 50 A, CAMSCO</t>
  </si>
  <si>
    <t>Changeover 4 pole Handle,</t>
  </si>
  <si>
    <t xml:space="preserve">Local </t>
  </si>
  <si>
    <t>Distribution Box 16 SWG, DC</t>
  </si>
  <si>
    <t>Distribution Box 16 SWG, AC</t>
  </si>
  <si>
    <t>DB Lights</t>
  </si>
  <si>
    <t>PVC Pipes, 1.5" (Dura/Dura Adam Gee)</t>
  </si>
  <si>
    <t xml:space="preserve">Dura </t>
  </si>
  <si>
    <t>Lengths</t>
  </si>
  <si>
    <t>Flexible Pipes 1.5" Dura/Dura Adam Gee</t>
  </si>
  <si>
    <t>1.5" Bend (Dura/ Adam Gee)</t>
  </si>
  <si>
    <t>1.5" Socket (Dura/Adam Gee)</t>
  </si>
  <si>
    <t>Duct Patti 60*60 (Dura/Adam Gee)</t>
  </si>
  <si>
    <t>PCS</t>
  </si>
  <si>
    <t>Clamp 1.5''</t>
  </si>
  <si>
    <t>pcs</t>
  </si>
  <si>
    <t>PVC Tapes</t>
  </si>
  <si>
    <t>Cable Tie</t>
  </si>
  <si>
    <t>PKT</t>
  </si>
  <si>
    <t>MC4 Connectors</t>
  </si>
  <si>
    <t>Pairs</t>
  </si>
  <si>
    <t>Thimbles 6 mm I Type</t>
  </si>
  <si>
    <t>Thimbles 10 mm I Type</t>
  </si>
  <si>
    <t>Thimbles 16 mm I Type</t>
  </si>
  <si>
    <t>Thimbles 10 mm U Type</t>
  </si>
  <si>
    <t>PG Glands 29</t>
  </si>
  <si>
    <t>DC Wire Flexible (Fast/Pakistan) 6mm single core, flexible, 1500 V (Red)</t>
  </si>
  <si>
    <t>meters</t>
  </si>
  <si>
    <t>DC Wire Flexible (Fast/Pakistan) 6mm single core, Flexible, 1500 V (Black)</t>
  </si>
  <si>
    <t>Earthing Wire 2.5 mm (Fast/Pakistan)</t>
  </si>
  <si>
    <t>Earthing Wire 16 mm (Fast/Pakistan)</t>
  </si>
  <si>
    <t>Earthpit Square 12'' *12''</t>
  </si>
  <si>
    <t>Earth Chemical</t>
  </si>
  <si>
    <t>Thimble 2.5 mm with earthing Nut BoltS</t>
  </si>
  <si>
    <t>Copper rope (Rassa) 16 mm</t>
  </si>
  <si>
    <t>Ft</t>
  </si>
  <si>
    <t>Copper Rod 16 mm, 6'</t>
  </si>
  <si>
    <t>G-I Pipe, 2'' dia, 6m</t>
  </si>
  <si>
    <t xml:space="preserve">GI </t>
  </si>
  <si>
    <t>G-I, T-Socket</t>
  </si>
  <si>
    <t>Copper Thimble 16 mm o Type</t>
  </si>
  <si>
    <t xml:space="preserve">Mughal </t>
  </si>
  <si>
    <t>C Chanel 3'' * 1.5'' * 14 SWG (Galvanized)</t>
  </si>
  <si>
    <t>Top Plates 6'' * 3'' * 3mm</t>
  </si>
  <si>
    <t>Base Plates 8''* 8''* 6 mm</t>
  </si>
  <si>
    <t>Rectangular Tube 1.5'' * 1.5'' * 16 SWG</t>
  </si>
  <si>
    <t>Set</t>
  </si>
  <si>
    <t>Panel Nut Bolt Galvanized with double Washers</t>
  </si>
  <si>
    <t>drywall screw+plastic plug (Gatti kharpeech)</t>
  </si>
  <si>
    <t>Labels + Tags</t>
  </si>
  <si>
    <t xml:space="preserve">EA </t>
  </si>
  <si>
    <t xml:space="preserve">Enemal Paint Black </t>
  </si>
  <si>
    <t xml:space="preserve">Berger </t>
  </si>
  <si>
    <t xml:space="preserve">Gallon </t>
  </si>
  <si>
    <t xml:space="preserve">Epoxy </t>
  </si>
  <si>
    <t>Litre</t>
  </si>
  <si>
    <t xml:space="preserve">Block </t>
  </si>
  <si>
    <t xml:space="preserve">Field Team </t>
  </si>
  <si>
    <t xml:space="preserve">Petrol/Thinner </t>
  </si>
  <si>
    <t xml:space="preserve">Sub Total </t>
  </si>
  <si>
    <t xml:space="preserve">UOM </t>
  </si>
  <si>
    <t xml:space="preserve">QTY </t>
  </si>
  <si>
    <t xml:space="preserve">Unit Price </t>
  </si>
  <si>
    <t xml:space="preserve">Total Cost </t>
  </si>
  <si>
    <t xml:space="preserve">JOB </t>
  </si>
  <si>
    <t>Transporter</t>
  </si>
  <si>
    <t xml:space="preserve">Room Rent </t>
  </si>
  <si>
    <t xml:space="preserve">days </t>
  </si>
  <si>
    <t>Job</t>
  </si>
  <si>
    <t xml:space="preserve">Site Manager </t>
  </si>
  <si>
    <t xml:space="preserve">Fabrication Team Charges </t>
  </si>
  <si>
    <t xml:space="preserve">watt </t>
  </si>
  <si>
    <t xml:space="preserve">Vendor </t>
  </si>
  <si>
    <t xml:space="preserve">Earthing Bore Labor </t>
  </si>
  <si>
    <t xml:space="preserve">Job </t>
  </si>
  <si>
    <t xml:space="preserve">Misc. Exp </t>
  </si>
  <si>
    <t xml:space="preserve">         </t>
  </si>
  <si>
    <t xml:space="preserve">Wages </t>
  </si>
  <si>
    <t>account</t>
  </si>
  <si>
    <t xml:space="preserve">Total </t>
  </si>
  <si>
    <t xml:space="preserve">Plan </t>
  </si>
  <si>
    <t>Deadline</t>
  </si>
  <si>
    <t xml:space="preserve">Planning </t>
  </si>
  <si>
    <t xml:space="preserve">Dispatch Date </t>
  </si>
  <si>
    <t xml:space="preserve">Delivery Date </t>
  </si>
  <si>
    <t xml:space="preserve">Team Leader </t>
  </si>
  <si>
    <t xml:space="preserve">Electrician </t>
  </si>
  <si>
    <t xml:space="preserve">Helper </t>
  </si>
  <si>
    <t>20 KW Hybrid Solar System</t>
  </si>
  <si>
    <t>Unit price</t>
  </si>
  <si>
    <t>Panel and Inverters</t>
  </si>
  <si>
    <t>610 watt Tier one Jinko/Canadian/Longi Bifacial solar perc 12 year work man ship 25 year 80% efficency</t>
  </si>
  <si>
    <t xml:space="preserve">Nitrox </t>
  </si>
  <si>
    <t xml:space="preserve">Batteries </t>
  </si>
  <si>
    <t>Batteries Lithium Ion Pylontech 48/51 V,100 A,</t>
  </si>
  <si>
    <t xml:space="preserve">Battery Bracket for 3 batteries Lithium </t>
  </si>
  <si>
    <t xml:space="preserve">Brackets </t>
  </si>
  <si>
    <t>Battery Wire 35 mm</t>
  </si>
  <si>
    <t xml:space="preserve">Distribution Box and Accessories </t>
  </si>
  <si>
    <t>Voltage control device 2 Pole,</t>
  </si>
  <si>
    <t>AC Breakers 2 pole, 63 A,</t>
  </si>
  <si>
    <t>Camsco</t>
  </si>
  <si>
    <t xml:space="preserve">Protection Devices </t>
  </si>
  <si>
    <t xml:space="preserve">Conduit Material </t>
  </si>
  <si>
    <t>1.5" T- Socket (Dura/Adam Gee)</t>
  </si>
  <si>
    <t xml:space="preserve">Cables </t>
  </si>
  <si>
    <t>AC Wire 10 mm Single Core (Fast/Pakistan) red</t>
  </si>
  <si>
    <t>AC Wire 10 mm Single Core (Fast/Pakistan) black</t>
  </si>
  <si>
    <t xml:space="preserve">Earthing and Lightening Arrestor Material </t>
  </si>
  <si>
    <t xml:space="preserve">Cemented </t>
  </si>
  <si>
    <t>Copper Bus Bar, 3 mm, 1.5'' wide, 6'' long, with nut bolts and Insulators</t>
  </si>
  <si>
    <t>lightening Arrester (Copper) with insulator and nut bolt</t>
  </si>
  <si>
    <t xml:space="preserve">Structure </t>
  </si>
  <si>
    <t>H Beam (Mughal), 5'' *2.5'' ,11 SWG</t>
  </si>
  <si>
    <t xml:space="preserve">MS </t>
  </si>
  <si>
    <t>Rawal Bolt 17 no.</t>
  </si>
  <si>
    <t xml:space="preserve">Red Oxide primer </t>
  </si>
  <si>
    <t>Civil work  12'' *12''* 12''</t>
  </si>
  <si>
    <t xml:space="preserve">Serives Budget </t>
  </si>
  <si>
    <t xml:space="preserve">will be planned after WO </t>
  </si>
  <si>
    <t xml:space="preserve">Team Travel </t>
  </si>
  <si>
    <t xml:space="preserve">NA </t>
  </si>
  <si>
    <t>NA</t>
  </si>
  <si>
    <t xml:space="preserve">Engineer Visit </t>
  </si>
  <si>
    <t xml:space="preserve">Date </t>
  </si>
  <si>
    <t xml:space="preserve">Actual Date </t>
  </si>
  <si>
    <t xml:space="preserve">Procurement and Packing </t>
  </si>
  <si>
    <t xml:space="preserve">Will be assigned after WO </t>
  </si>
  <si>
    <t>Starting Date (Mechanical)</t>
  </si>
  <si>
    <t>Deadline (Mechanical )</t>
  </si>
  <si>
    <t>Fabrication Team</t>
  </si>
  <si>
    <t xml:space="preserve">Burewala </t>
  </si>
  <si>
    <t xml:space="preserve">Nitrox 6 kW, Hybrid </t>
  </si>
  <si>
    <t xml:space="preserve">Material Demand Note For Askari IBB Burewala </t>
  </si>
  <si>
    <t>Freight Charges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</si>
</sst>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4C5E7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3" fillId="0" borderId="9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9" xfId="0" applyFont="1" applyBorder="1" applyAlignment="1">
      <alignment wrapText="1"/>
    </xf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vertical="top" wrapText="1"/>
    </xf>
    <xf numFmtId="0" fontId="1" fillId="0" borderId="0" xfId="0" applyFont="1" applyAlignment="1">
      <alignment wrapText="1"/>
    </xf>
    <xf numFmtId="0" fontId="6" fillId="0" borderId="9" xfId="0" applyFont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vertical="top" wrapText="1"/>
    </xf>
    <xf numFmtId="0" fontId="5" fillId="3" borderId="9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15" fontId="5" fillId="0" borderId="9" xfId="0" applyNumberFormat="1" applyFont="1" applyBorder="1" applyAlignment="1">
      <alignment horizontal="center" vertical="top" wrapText="1"/>
    </xf>
    <xf numFmtId="15" fontId="5" fillId="0" borderId="9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4" fillId="3" borderId="9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left" wrapText="1"/>
    </xf>
    <xf numFmtId="2" fontId="5" fillId="0" borderId="9" xfId="0" applyNumberFormat="1" applyFont="1" applyBorder="1" applyAlignment="1">
      <alignment horizontal="center" vertical="top" wrapText="1"/>
    </xf>
    <xf numFmtId="2" fontId="5" fillId="3" borderId="9" xfId="0" applyNumberFormat="1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76B9-F731-430D-A183-B37215C7D4DB}">
  <dimension ref="A1:AC1037"/>
  <sheetViews>
    <sheetView tabSelected="1" workbookViewId="0">
      <selection activeCell="C88" sqref="C88"/>
    </sheetView>
  </sheetViews>
  <sheetFormatPr defaultColWidth="71.1796875" defaultRowHeight="14.5" x14ac:dyDescent="0.35"/>
  <cols>
    <col min="1" max="1" width="7.1796875" customWidth="1"/>
    <col min="2" max="2" width="12.6328125" bestFit="1" customWidth="1"/>
    <col min="3" max="3" width="56.54296875" bestFit="1" customWidth="1"/>
    <col min="4" max="4" width="20.7265625" style="20" bestFit="1" customWidth="1"/>
    <col min="5" max="5" width="10.1796875" bestFit="1" customWidth="1"/>
    <col min="6" max="6" width="5.453125" bestFit="1" customWidth="1"/>
    <col min="7" max="7" width="10.26953125" bestFit="1" customWidth="1"/>
    <col min="8" max="8" width="8.7265625" customWidth="1"/>
    <col min="9" max="9" width="11.81640625" bestFit="1" customWidth="1"/>
    <col min="10" max="10" width="20.7265625" bestFit="1" customWidth="1"/>
    <col min="11" max="11" width="10.54296875" bestFit="1" customWidth="1"/>
  </cols>
  <sheetData>
    <row r="1" spans="1:29" ht="15" thickBot="1" x14ac:dyDescent="0.4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thickBot="1" x14ac:dyDescent="0.4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" thickBot="1" x14ac:dyDescent="0.4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thickBot="1" x14ac:dyDescent="0.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" thickBot="1" x14ac:dyDescent="0.4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" thickBot="1" x14ac:dyDescent="0.4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" thickBot="1" x14ac:dyDescent="0.4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" thickBot="1" x14ac:dyDescent="0.4">
      <c r="A8" s="3"/>
      <c r="B8" s="27" t="s">
        <v>159</v>
      </c>
      <c r="C8" s="28"/>
      <c r="D8" s="28"/>
      <c r="E8" s="28"/>
      <c r="F8" s="28"/>
      <c r="G8" s="28"/>
      <c r="H8" s="28"/>
      <c r="I8" s="2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" thickBot="1" x14ac:dyDescent="0.4">
      <c r="A9" s="3"/>
      <c r="B9" s="30"/>
      <c r="C9" s="31"/>
      <c r="D9" s="31"/>
      <c r="E9" s="31"/>
      <c r="F9" s="31"/>
      <c r="G9" s="31"/>
      <c r="H9" s="31"/>
      <c r="I9" s="3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31.5" thickBot="1" x14ac:dyDescent="0.4">
      <c r="A10" s="3"/>
      <c r="B10" s="4" t="s">
        <v>0</v>
      </c>
      <c r="C10" s="4" t="s">
        <v>114</v>
      </c>
      <c r="D10" s="4"/>
      <c r="E10" s="4" t="s">
        <v>1</v>
      </c>
      <c r="F10" s="33" t="s">
        <v>2</v>
      </c>
      <c r="G10" s="34"/>
      <c r="H10" s="34"/>
      <c r="I10" s="3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6" thickBot="1" x14ac:dyDescent="0.4">
      <c r="A11" s="3"/>
      <c r="B11" s="4" t="s">
        <v>3</v>
      </c>
      <c r="C11" s="4" t="s">
        <v>157</v>
      </c>
      <c r="D11" s="4"/>
      <c r="E11" s="4" t="s">
        <v>4</v>
      </c>
      <c r="F11" s="36"/>
      <c r="G11" s="37"/>
      <c r="H11" s="37"/>
      <c r="I11" s="3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6" thickBot="1" x14ac:dyDescent="0.4">
      <c r="A12" s="3"/>
      <c r="B12" s="5" t="s">
        <v>5</v>
      </c>
      <c r="C12" s="5" t="s">
        <v>6</v>
      </c>
      <c r="D12" s="5" t="s">
        <v>7</v>
      </c>
      <c r="E12" s="5" t="s">
        <v>8</v>
      </c>
      <c r="F12" s="5" t="s">
        <v>9</v>
      </c>
      <c r="G12" s="5" t="s">
        <v>115</v>
      </c>
      <c r="H12" s="5" t="s">
        <v>10</v>
      </c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6" thickBot="1" x14ac:dyDescent="0.4">
      <c r="A13" s="3"/>
      <c r="B13" s="21"/>
      <c r="C13" s="22" t="s">
        <v>116</v>
      </c>
      <c r="D13" s="21"/>
      <c r="E13" s="21"/>
      <c r="F13" s="21"/>
      <c r="G13" s="21"/>
      <c r="H13" s="21"/>
      <c r="I13" s="2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7" thickBot="1" x14ac:dyDescent="0.4">
      <c r="A14" s="3"/>
      <c r="B14" s="6">
        <v>1</v>
      </c>
      <c r="C14" s="7" t="s">
        <v>117</v>
      </c>
      <c r="D14" s="6" t="s">
        <v>11</v>
      </c>
      <c r="E14" s="6" t="s">
        <v>12</v>
      </c>
      <c r="F14" s="6">
        <v>20</v>
      </c>
      <c r="G14" s="8"/>
      <c r="H14" s="8">
        <f>F14*G14</f>
        <v>0</v>
      </c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" thickBot="1" x14ac:dyDescent="0.4">
      <c r="A15" s="3"/>
      <c r="B15" s="6">
        <v>2</v>
      </c>
      <c r="C15" s="7" t="s">
        <v>158</v>
      </c>
      <c r="D15" s="6" t="s">
        <v>118</v>
      </c>
      <c r="E15" s="6" t="s">
        <v>13</v>
      </c>
      <c r="F15" s="6">
        <v>2</v>
      </c>
      <c r="G15" s="8"/>
      <c r="H15" s="8">
        <f t="shared" ref="H15:H81" si="0">F15*G15</f>
        <v>0</v>
      </c>
      <c r="I15" s="23">
        <f>H15/25830</f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6" thickBot="1" x14ac:dyDescent="0.4">
      <c r="A16" s="3"/>
      <c r="B16" s="21"/>
      <c r="C16" s="22" t="s">
        <v>119</v>
      </c>
      <c r="D16" s="21"/>
      <c r="E16" s="21"/>
      <c r="F16" s="21"/>
      <c r="G16" s="21"/>
      <c r="H16" s="21">
        <f>SUM(H17:H22)</f>
        <v>0</v>
      </c>
      <c r="I16" s="24">
        <f>H16/25830</f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" thickBot="1" x14ac:dyDescent="0.4">
      <c r="A17" s="3"/>
      <c r="B17" s="6">
        <v>1</v>
      </c>
      <c r="C17" s="7" t="s">
        <v>120</v>
      </c>
      <c r="D17" s="6" t="s">
        <v>14</v>
      </c>
      <c r="E17" s="6" t="s">
        <v>13</v>
      </c>
      <c r="F17" s="6">
        <v>2</v>
      </c>
      <c r="G17" s="6"/>
      <c r="H17" s="8">
        <f t="shared" si="0"/>
        <v>0</v>
      </c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" thickBot="1" x14ac:dyDescent="0.4">
      <c r="A18" s="3"/>
      <c r="B18" s="6">
        <f>B17+1</f>
        <v>2</v>
      </c>
      <c r="C18" s="9" t="s">
        <v>121</v>
      </c>
      <c r="D18" s="8" t="s">
        <v>15</v>
      </c>
      <c r="E18" s="6" t="s">
        <v>122</v>
      </c>
      <c r="F18" s="6">
        <v>8</v>
      </c>
      <c r="G18" s="8"/>
      <c r="H18" s="8">
        <f t="shared" si="0"/>
        <v>0</v>
      </c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thickBot="1" x14ac:dyDescent="0.4">
      <c r="A19" s="3"/>
      <c r="B19" s="6">
        <f t="shared" ref="B19:B22" si="1">B18+1</f>
        <v>3</v>
      </c>
      <c r="C19" s="9" t="s">
        <v>21</v>
      </c>
      <c r="D19" s="8" t="s">
        <v>22</v>
      </c>
      <c r="E19" s="6" t="s">
        <v>13</v>
      </c>
      <c r="F19" s="6">
        <v>2</v>
      </c>
      <c r="G19" s="8"/>
      <c r="H19" s="8">
        <f t="shared" si="0"/>
        <v>0</v>
      </c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" thickBot="1" x14ac:dyDescent="0.4">
      <c r="A20" s="3"/>
      <c r="B20" s="6">
        <f t="shared" si="1"/>
        <v>4</v>
      </c>
      <c r="C20" s="9" t="s">
        <v>123</v>
      </c>
      <c r="D20" s="8" t="s">
        <v>16</v>
      </c>
      <c r="E20" s="6" t="s">
        <v>17</v>
      </c>
      <c r="F20" s="6">
        <v>5</v>
      </c>
      <c r="G20" s="8"/>
      <c r="H20" s="8">
        <f t="shared" si="0"/>
        <v>0</v>
      </c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" thickBot="1" x14ac:dyDescent="0.4">
      <c r="A21" s="3"/>
      <c r="B21" s="6">
        <f t="shared" si="1"/>
        <v>5</v>
      </c>
      <c r="C21" s="9" t="s">
        <v>18</v>
      </c>
      <c r="D21" s="8" t="s">
        <v>19</v>
      </c>
      <c r="E21" s="6" t="s">
        <v>13</v>
      </c>
      <c r="F21" s="6">
        <v>8</v>
      </c>
      <c r="G21" s="8"/>
      <c r="H21" s="8">
        <f t="shared" si="0"/>
        <v>0</v>
      </c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" thickBot="1" x14ac:dyDescent="0.4">
      <c r="A22" s="3"/>
      <c r="B22" s="6">
        <f t="shared" si="1"/>
        <v>6</v>
      </c>
      <c r="C22" s="9" t="s">
        <v>20</v>
      </c>
      <c r="D22" s="8" t="s">
        <v>19</v>
      </c>
      <c r="E22" s="6" t="s">
        <v>13</v>
      </c>
      <c r="F22" s="6">
        <v>8</v>
      </c>
      <c r="G22" s="8"/>
      <c r="H22" s="8">
        <f t="shared" si="0"/>
        <v>0</v>
      </c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6" thickBot="1" x14ac:dyDescent="0.4">
      <c r="A23" s="3"/>
      <c r="B23" s="21"/>
      <c r="C23" s="22" t="s">
        <v>124</v>
      </c>
      <c r="D23" s="21"/>
      <c r="E23" s="21"/>
      <c r="F23" s="21"/>
      <c r="G23" s="21"/>
      <c r="H23" s="21">
        <f>SUM(H24:H30)</f>
        <v>0</v>
      </c>
      <c r="I23" s="24">
        <f>H23/25830</f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" thickBot="1" x14ac:dyDescent="0.4">
      <c r="A24" s="3"/>
      <c r="B24" s="6">
        <v>1</v>
      </c>
      <c r="C24" s="9" t="s">
        <v>29</v>
      </c>
      <c r="D24" s="8" t="s">
        <v>15</v>
      </c>
      <c r="E24" s="6" t="s">
        <v>13</v>
      </c>
      <c r="F24" s="6">
        <v>2</v>
      </c>
      <c r="G24" s="8"/>
      <c r="H24" s="8">
        <f>F24*G24</f>
        <v>0</v>
      </c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thickBot="1" x14ac:dyDescent="0.4">
      <c r="A25" s="3"/>
      <c r="B25" s="6">
        <f>B24+1</f>
        <v>2</v>
      </c>
      <c r="C25" s="9" t="s">
        <v>30</v>
      </c>
      <c r="D25" s="8" t="s">
        <v>15</v>
      </c>
      <c r="E25" s="6" t="s">
        <v>13</v>
      </c>
      <c r="F25" s="6">
        <v>2</v>
      </c>
      <c r="G25" s="8"/>
      <c r="H25" s="8">
        <f>F25*G25</f>
        <v>0</v>
      </c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" thickBot="1" x14ac:dyDescent="0.4">
      <c r="A26" s="3"/>
      <c r="B26" s="6">
        <f t="shared" ref="B26:B30" si="2">B25+1</f>
        <v>3</v>
      </c>
      <c r="C26" s="9" t="s">
        <v>125</v>
      </c>
      <c r="D26" s="8" t="s">
        <v>22</v>
      </c>
      <c r="E26" s="6" t="s">
        <v>13</v>
      </c>
      <c r="F26" s="6">
        <v>2</v>
      </c>
      <c r="G26" s="25"/>
      <c r="H26" s="8">
        <f>F26*G26</f>
        <v>0</v>
      </c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" thickBot="1" x14ac:dyDescent="0.4">
      <c r="A27" s="3"/>
      <c r="B27" s="6">
        <f t="shared" si="2"/>
        <v>4</v>
      </c>
      <c r="C27" s="9" t="s">
        <v>31</v>
      </c>
      <c r="D27" s="8" t="s">
        <v>22</v>
      </c>
      <c r="E27" s="6" t="s">
        <v>13</v>
      </c>
      <c r="F27" s="6">
        <v>6</v>
      </c>
      <c r="G27" s="8"/>
      <c r="H27" s="8">
        <f>F27*G27</f>
        <v>0</v>
      </c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" thickBot="1" x14ac:dyDescent="0.4">
      <c r="A28" s="3"/>
      <c r="B28" s="6">
        <f t="shared" si="2"/>
        <v>5</v>
      </c>
      <c r="C28" s="9" t="s">
        <v>126</v>
      </c>
      <c r="D28" s="8" t="s">
        <v>22</v>
      </c>
      <c r="E28" s="6" t="s">
        <v>13</v>
      </c>
      <c r="F28" s="6">
        <v>6</v>
      </c>
      <c r="G28" s="8"/>
      <c r="H28" s="8">
        <f t="shared" si="0"/>
        <v>0</v>
      </c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" thickBot="1" x14ac:dyDescent="0.4">
      <c r="A29" s="3"/>
      <c r="B29" s="6">
        <f t="shared" si="2"/>
        <v>6</v>
      </c>
      <c r="C29" s="9" t="s">
        <v>24</v>
      </c>
      <c r="D29" s="8" t="s">
        <v>22</v>
      </c>
      <c r="E29" s="6" t="s">
        <v>13</v>
      </c>
      <c r="F29" s="6">
        <v>4</v>
      </c>
      <c r="G29" s="8"/>
      <c r="H29" s="8">
        <f t="shared" si="0"/>
        <v>0</v>
      </c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" thickBot="1" x14ac:dyDescent="0.4">
      <c r="A30" s="3"/>
      <c r="B30" s="6">
        <f t="shared" si="2"/>
        <v>7</v>
      </c>
      <c r="C30" s="9" t="s">
        <v>26</v>
      </c>
      <c r="D30" s="8" t="s">
        <v>127</v>
      </c>
      <c r="E30" s="6" t="s">
        <v>13</v>
      </c>
      <c r="F30" s="6">
        <v>2</v>
      </c>
      <c r="G30" s="8"/>
      <c r="H30" s="8">
        <f t="shared" si="0"/>
        <v>0</v>
      </c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6" thickBot="1" x14ac:dyDescent="0.4">
      <c r="A31" s="3"/>
      <c r="B31" s="21"/>
      <c r="C31" s="22" t="s">
        <v>128</v>
      </c>
      <c r="D31" s="21"/>
      <c r="E31" s="21"/>
      <c r="F31" s="21"/>
      <c r="G31" s="21"/>
      <c r="H31" s="21">
        <f>SUM(H32:H34)</f>
        <v>0</v>
      </c>
      <c r="I31" s="24">
        <f>H31/25830</f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thickBot="1" x14ac:dyDescent="0.4">
      <c r="A32" s="3"/>
      <c r="B32" s="6">
        <v>1</v>
      </c>
      <c r="C32" s="9" t="s">
        <v>23</v>
      </c>
      <c r="D32" s="8" t="s">
        <v>22</v>
      </c>
      <c r="E32" s="6" t="s">
        <v>13</v>
      </c>
      <c r="F32" s="6">
        <v>2</v>
      </c>
      <c r="G32" s="8"/>
      <c r="H32" s="8">
        <f>F32*G32</f>
        <v>0</v>
      </c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" thickBot="1" x14ac:dyDescent="0.4">
      <c r="A33" s="3"/>
      <c r="B33" s="6">
        <f>B32+1</f>
        <v>2</v>
      </c>
      <c r="C33" s="9" t="s">
        <v>25</v>
      </c>
      <c r="D33" s="8" t="s">
        <v>22</v>
      </c>
      <c r="E33" s="6" t="s">
        <v>13</v>
      </c>
      <c r="F33" s="6">
        <v>4</v>
      </c>
      <c r="G33" s="8"/>
      <c r="H33" s="8">
        <f>F33*G33</f>
        <v>0</v>
      </c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" thickBot="1" x14ac:dyDescent="0.4">
      <c r="A34" s="3"/>
      <c r="B34" s="6">
        <f>B33+1</f>
        <v>3</v>
      </c>
      <c r="C34" s="9" t="s">
        <v>27</v>
      </c>
      <c r="D34" s="8" t="s">
        <v>28</v>
      </c>
      <c r="E34" s="6" t="s">
        <v>13</v>
      </c>
      <c r="F34" s="6">
        <v>1</v>
      </c>
      <c r="G34" s="8"/>
      <c r="H34" s="8">
        <f t="shared" si="0"/>
        <v>0</v>
      </c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6" thickBot="1" x14ac:dyDescent="0.4">
      <c r="A35" s="3"/>
      <c r="B35" s="21"/>
      <c r="C35" s="22" t="s">
        <v>129</v>
      </c>
      <c r="D35" s="21"/>
      <c r="E35" s="21"/>
      <c r="F35" s="21"/>
      <c r="G35" s="21"/>
      <c r="H35" s="21">
        <f>SUM(H36:H52)</f>
        <v>0</v>
      </c>
      <c r="I35" s="24">
        <f>H35/25830</f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" thickBot="1" x14ac:dyDescent="0.4">
      <c r="A36" s="3"/>
      <c r="B36" s="6">
        <v>1</v>
      </c>
      <c r="C36" s="9" t="s">
        <v>32</v>
      </c>
      <c r="D36" s="8" t="s">
        <v>33</v>
      </c>
      <c r="E36" s="6" t="s">
        <v>34</v>
      </c>
      <c r="F36" s="6">
        <v>15</v>
      </c>
      <c r="G36" s="8"/>
      <c r="H36" s="8">
        <f t="shared" si="0"/>
        <v>0</v>
      </c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" thickBot="1" x14ac:dyDescent="0.4">
      <c r="A37" s="3"/>
      <c r="B37" s="6">
        <f>B36+1</f>
        <v>2</v>
      </c>
      <c r="C37" s="9" t="s">
        <v>35</v>
      </c>
      <c r="D37" s="8" t="s">
        <v>33</v>
      </c>
      <c r="E37" s="6" t="s">
        <v>17</v>
      </c>
      <c r="F37" s="6">
        <v>10</v>
      </c>
      <c r="G37" s="8"/>
      <c r="H37" s="8">
        <f t="shared" si="0"/>
        <v>0</v>
      </c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" thickBot="1" x14ac:dyDescent="0.4">
      <c r="A38" s="3"/>
      <c r="B38" s="6">
        <f t="shared" ref="B38:B52" si="3">B37+1</f>
        <v>3</v>
      </c>
      <c r="C38" s="9" t="s">
        <v>36</v>
      </c>
      <c r="D38" s="8" t="s">
        <v>33</v>
      </c>
      <c r="E38" s="6" t="s">
        <v>13</v>
      </c>
      <c r="F38" s="6">
        <v>10</v>
      </c>
      <c r="G38" s="8"/>
      <c r="H38" s="8">
        <f t="shared" si="0"/>
        <v>0</v>
      </c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" thickBot="1" x14ac:dyDescent="0.4">
      <c r="A39" s="3"/>
      <c r="B39" s="6">
        <f t="shared" si="3"/>
        <v>4</v>
      </c>
      <c r="C39" s="9" t="s">
        <v>37</v>
      </c>
      <c r="D39" s="8" t="s">
        <v>33</v>
      </c>
      <c r="E39" s="6" t="s">
        <v>13</v>
      </c>
      <c r="F39" s="6">
        <v>10</v>
      </c>
      <c r="G39" s="8"/>
      <c r="H39" s="8">
        <f t="shared" si="0"/>
        <v>0</v>
      </c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thickBot="1" x14ac:dyDescent="0.4">
      <c r="A40" s="3"/>
      <c r="B40" s="6">
        <f t="shared" si="3"/>
        <v>5</v>
      </c>
      <c r="C40" s="9" t="s">
        <v>130</v>
      </c>
      <c r="D40" s="8" t="s">
        <v>33</v>
      </c>
      <c r="E40" s="6" t="s">
        <v>13</v>
      </c>
      <c r="F40" s="6">
        <v>5</v>
      </c>
      <c r="G40" s="8"/>
      <c r="H40" s="8">
        <f t="shared" si="0"/>
        <v>0</v>
      </c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" thickBot="1" x14ac:dyDescent="0.4">
      <c r="A41" s="3"/>
      <c r="B41" s="6">
        <f t="shared" si="3"/>
        <v>6</v>
      </c>
      <c r="C41" s="9" t="s">
        <v>38</v>
      </c>
      <c r="D41" s="8" t="s">
        <v>33</v>
      </c>
      <c r="E41" s="6" t="s">
        <v>39</v>
      </c>
      <c r="F41" s="6">
        <v>2</v>
      </c>
      <c r="G41" s="8"/>
      <c r="H41" s="8">
        <f t="shared" si="0"/>
        <v>0</v>
      </c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thickBot="1" x14ac:dyDescent="0.4">
      <c r="A42" s="3"/>
      <c r="B42" s="6">
        <f t="shared" si="3"/>
        <v>7</v>
      </c>
      <c r="C42" s="9" t="s">
        <v>40</v>
      </c>
      <c r="D42" s="8" t="s">
        <v>33</v>
      </c>
      <c r="E42" s="8" t="s">
        <v>41</v>
      </c>
      <c r="F42" s="6">
        <v>40</v>
      </c>
      <c r="G42" s="8"/>
      <c r="H42" s="8">
        <f t="shared" si="0"/>
        <v>0</v>
      </c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" thickBot="1" x14ac:dyDescent="0.4">
      <c r="A43" s="3"/>
      <c r="B43" s="6">
        <f t="shared" si="3"/>
        <v>8</v>
      </c>
      <c r="C43" s="9" t="s">
        <v>42</v>
      </c>
      <c r="D43" s="8" t="s">
        <v>28</v>
      </c>
      <c r="E43" s="8" t="s">
        <v>41</v>
      </c>
      <c r="F43" s="6">
        <v>4</v>
      </c>
      <c r="G43" s="8"/>
      <c r="H43" s="8">
        <f t="shared" si="0"/>
        <v>0</v>
      </c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" thickBot="1" x14ac:dyDescent="0.4">
      <c r="A44" s="3"/>
      <c r="B44" s="6">
        <f t="shared" si="3"/>
        <v>9</v>
      </c>
      <c r="C44" s="9" t="s">
        <v>43</v>
      </c>
      <c r="D44" s="8" t="s">
        <v>28</v>
      </c>
      <c r="E44" s="8" t="s">
        <v>44</v>
      </c>
      <c r="F44" s="6">
        <v>3</v>
      </c>
      <c r="G44" s="8"/>
      <c r="H44" s="8">
        <f t="shared" si="0"/>
        <v>0</v>
      </c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" thickBot="1" x14ac:dyDescent="0.4">
      <c r="A45" s="3"/>
      <c r="B45" s="6">
        <f t="shared" si="3"/>
        <v>10</v>
      </c>
      <c r="C45" s="9" t="s">
        <v>45</v>
      </c>
      <c r="D45" s="8" t="s">
        <v>28</v>
      </c>
      <c r="E45" s="6" t="s">
        <v>46</v>
      </c>
      <c r="F45" s="6">
        <v>8</v>
      </c>
      <c r="G45" s="8"/>
      <c r="H45" s="8">
        <f t="shared" si="0"/>
        <v>0</v>
      </c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" thickBot="1" x14ac:dyDescent="0.4">
      <c r="A46" s="3"/>
      <c r="B46" s="6">
        <f t="shared" si="3"/>
        <v>11</v>
      </c>
      <c r="C46" s="9" t="s">
        <v>47</v>
      </c>
      <c r="D46" s="8" t="s">
        <v>28</v>
      </c>
      <c r="E46" s="6" t="s">
        <v>13</v>
      </c>
      <c r="F46" s="6">
        <v>45</v>
      </c>
      <c r="G46" s="8"/>
      <c r="H46" s="8">
        <f t="shared" si="0"/>
        <v>0</v>
      </c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" thickBot="1" x14ac:dyDescent="0.4">
      <c r="A47" s="3"/>
      <c r="B47" s="6">
        <f t="shared" si="3"/>
        <v>12</v>
      </c>
      <c r="C47" s="9" t="s">
        <v>48</v>
      </c>
      <c r="D47" s="8" t="s">
        <v>28</v>
      </c>
      <c r="E47" s="6" t="s">
        <v>13</v>
      </c>
      <c r="F47" s="6">
        <v>45</v>
      </c>
      <c r="G47" s="8"/>
      <c r="H47" s="8">
        <f t="shared" si="0"/>
        <v>0</v>
      </c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" thickBot="1" x14ac:dyDescent="0.4">
      <c r="A48" s="3"/>
      <c r="B48" s="6">
        <f t="shared" si="3"/>
        <v>13</v>
      </c>
      <c r="C48" s="9" t="s">
        <v>49</v>
      </c>
      <c r="D48" s="8" t="s">
        <v>28</v>
      </c>
      <c r="E48" s="6" t="s">
        <v>13</v>
      </c>
      <c r="F48" s="6">
        <v>36</v>
      </c>
      <c r="G48" s="8"/>
      <c r="H48" s="8">
        <f t="shared" si="0"/>
        <v>0</v>
      </c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" thickBot="1" x14ac:dyDescent="0.4">
      <c r="A49" s="3"/>
      <c r="B49" s="6">
        <f t="shared" si="3"/>
        <v>14</v>
      </c>
      <c r="C49" s="9" t="s">
        <v>50</v>
      </c>
      <c r="D49" s="8" t="s">
        <v>28</v>
      </c>
      <c r="E49" s="6" t="s">
        <v>13</v>
      </c>
      <c r="F49" s="6">
        <v>36</v>
      </c>
      <c r="G49" s="8"/>
      <c r="H49" s="8">
        <f t="shared" si="0"/>
        <v>0</v>
      </c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" thickBot="1" x14ac:dyDescent="0.4">
      <c r="A50" s="3"/>
      <c r="B50" s="6">
        <f t="shared" si="3"/>
        <v>15</v>
      </c>
      <c r="C50" s="9" t="s">
        <v>51</v>
      </c>
      <c r="D50" s="8" t="s">
        <v>28</v>
      </c>
      <c r="E50" s="6" t="s">
        <v>13</v>
      </c>
      <c r="F50" s="6">
        <v>24</v>
      </c>
      <c r="G50" s="8"/>
      <c r="H50" s="8">
        <f t="shared" si="0"/>
        <v>0</v>
      </c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" thickBot="1" x14ac:dyDescent="0.4">
      <c r="A51" s="3"/>
      <c r="B51" s="6">
        <f t="shared" si="3"/>
        <v>16</v>
      </c>
      <c r="C51" s="9" t="s">
        <v>74</v>
      </c>
      <c r="D51" s="8" t="s">
        <v>28</v>
      </c>
      <c r="E51" s="6" t="s">
        <v>39</v>
      </c>
      <c r="F51" s="6">
        <v>50</v>
      </c>
      <c r="G51" s="8"/>
      <c r="H51" s="8">
        <f>F51*G51</f>
        <v>0</v>
      </c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" thickBot="1" x14ac:dyDescent="0.4">
      <c r="A52" s="3"/>
      <c r="B52" s="6">
        <f t="shared" si="3"/>
        <v>17</v>
      </c>
      <c r="C52" s="9" t="s">
        <v>75</v>
      </c>
      <c r="D52" s="8" t="s">
        <v>76</v>
      </c>
      <c r="E52" s="6" t="s">
        <v>72</v>
      </c>
      <c r="F52" s="6">
        <v>2</v>
      </c>
      <c r="G52" s="8"/>
      <c r="H52" s="8">
        <f>F52*G52</f>
        <v>0</v>
      </c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6" thickBot="1" x14ac:dyDescent="0.4">
      <c r="A53" s="3"/>
      <c r="B53" s="21"/>
      <c r="C53" s="22" t="s">
        <v>131</v>
      </c>
      <c r="D53" s="21"/>
      <c r="E53" s="21"/>
      <c r="F53" s="21"/>
      <c r="G53" s="21"/>
      <c r="H53" s="21">
        <f>SUM(H54:H59)</f>
        <v>0</v>
      </c>
      <c r="I53" s="24">
        <f>H53/25830</f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" thickBot="1" x14ac:dyDescent="0.4">
      <c r="A54" s="3"/>
      <c r="B54" s="6">
        <v>1</v>
      </c>
      <c r="C54" s="7" t="s">
        <v>52</v>
      </c>
      <c r="D54" s="6" t="s">
        <v>16</v>
      </c>
      <c r="E54" s="6" t="s">
        <v>53</v>
      </c>
      <c r="F54" s="6">
        <v>180</v>
      </c>
      <c r="G54" s="8"/>
      <c r="H54" s="8">
        <f t="shared" si="0"/>
        <v>0</v>
      </c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.5" customHeight="1" thickBot="1" x14ac:dyDescent="0.4">
      <c r="A55" s="3"/>
      <c r="B55" s="6">
        <f>B54+1</f>
        <v>2</v>
      </c>
      <c r="C55" s="7" t="s">
        <v>54</v>
      </c>
      <c r="D55" s="6" t="s">
        <v>16</v>
      </c>
      <c r="E55" s="6" t="s">
        <v>53</v>
      </c>
      <c r="F55" s="6">
        <v>180</v>
      </c>
      <c r="G55" s="8"/>
      <c r="H55" s="8">
        <f t="shared" si="0"/>
        <v>0</v>
      </c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" thickBot="1" x14ac:dyDescent="0.4">
      <c r="A56" s="3"/>
      <c r="B56" s="6">
        <f t="shared" ref="B56:B59" si="4">B55+1</f>
        <v>3</v>
      </c>
      <c r="C56" s="7" t="s">
        <v>132</v>
      </c>
      <c r="D56" s="6" t="s">
        <v>16</v>
      </c>
      <c r="E56" s="6" t="s">
        <v>53</v>
      </c>
      <c r="F56" s="6">
        <v>60</v>
      </c>
      <c r="G56" s="8"/>
      <c r="H56" s="8">
        <f t="shared" si="0"/>
        <v>0</v>
      </c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" thickBot="1" x14ac:dyDescent="0.4">
      <c r="A57" s="3"/>
      <c r="B57" s="6">
        <f t="shared" si="4"/>
        <v>4</v>
      </c>
      <c r="C57" s="7" t="s">
        <v>133</v>
      </c>
      <c r="D57" s="6" t="s">
        <v>16</v>
      </c>
      <c r="E57" s="6" t="s">
        <v>53</v>
      </c>
      <c r="F57" s="6">
        <v>30</v>
      </c>
      <c r="G57" s="8"/>
      <c r="H57" s="8">
        <f t="shared" si="0"/>
        <v>0</v>
      </c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" thickBot="1" x14ac:dyDescent="0.4">
      <c r="A58" s="3"/>
      <c r="B58" s="6">
        <f t="shared" si="4"/>
        <v>5</v>
      </c>
      <c r="C58" s="9" t="s">
        <v>55</v>
      </c>
      <c r="D58" s="6" t="s">
        <v>16</v>
      </c>
      <c r="E58" s="6" t="s">
        <v>53</v>
      </c>
      <c r="F58" s="6">
        <v>5</v>
      </c>
      <c r="G58" s="8"/>
      <c r="H58" s="8">
        <f t="shared" si="0"/>
        <v>0</v>
      </c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" thickBot="1" x14ac:dyDescent="0.4">
      <c r="A59" s="3"/>
      <c r="B59" s="6">
        <f t="shared" si="4"/>
        <v>6</v>
      </c>
      <c r="C59" s="9" t="s">
        <v>56</v>
      </c>
      <c r="D59" s="6" t="s">
        <v>16</v>
      </c>
      <c r="E59" s="6" t="s">
        <v>53</v>
      </c>
      <c r="F59" s="6">
        <v>180</v>
      </c>
      <c r="G59" s="8"/>
      <c r="H59" s="8">
        <f t="shared" si="0"/>
        <v>0</v>
      </c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6" thickBot="1" x14ac:dyDescent="0.4">
      <c r="A60" s="3"/>
      <c r="B60" s="21"/>
      <c r="C60" s="22" t="s">
        <v>134</v>
      </c>
      <c r="D60" s="21"/>
      <c r="E60" s="21"/>
      <c r="F60" s="21"/>
      <c r="G60" s="21"/>
      <c r="H60" s="21">
        <f>SUM(H61:H70)</f>
        <v>0</v>
      </c>
      <c r="I60" s="24">
        <f>H60/25830</f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" customHeight="1" thickBot="1" x14ac:dyDescent="0.4">
      <c r="A61" s="3"/>
      <c r="B61" s="6">
        <v>1</v>
      </c>
      <c r="C61" s="9" t="s">
        <v>57</v>
      </c>
      <c r="D61" s="8" t="s">
        <v>135</v>
      </c>
      <c r="E61" s="6" t="s">
        <v>39</v>
      </c>
      <c r="F61" s="6">
        <v>2</v>
      </c>
      <c r="G61" s="8"/>
      <c r="H61" s="8">
        <f t="shared" si="0"/>
        <v>0</v>
      </c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6.5" customHeight="1" thickBot="1" x14ac:dyDescent="0.4">
      <c r="A62" s="3"/>
      <c r="B62" s="6">
        <f>B61+1</f>
        <v>2</v>
      </c>
      <c r="C62" s="9" t="s">
        <v>58</v>
      </c>
      <c r="D62" s="8" t="s">
        <v>28</v>
      </c>
      <c r="E62" s="6" t="s">
        <v>39</v>
      </c>
      <c r="F62" s="6">
        <v>4</v>
      </c>
      <c r="G62" s="8"/>
      <c r="H62" s="8">
        <f t="shared" si="0"/>
        <v>0</v>
      </c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" thickBot="1" x14ac:dyDescent="0.4">
      <c r="A63" s="3"/>
      <c r="B63" s="6">
        <f t="shared" ref="B63:B70" si="5">B62+1</f>
        <v>3</v>
      </c>
      <c r="C63" s="9" t="s">
        <v>59</v>
      </c>
      <c r="D63" s="8" t="s">
        <v>28</v>
      </c>
      <c r="E63" s="6" t="s">
        <v>39</v>
      </c>
      <c r="F63" s="6">
        <v>90</v>
      </c>
      <c r="G63" s="8"/>
      <c r="H63" s="8">
        <f t="shared" si="0"/>
        <v>0</v>
      </c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" thickBot="1" x14ac:dyDescent="0.4">
      <c r="A64" s="3"/>
      <c r="B64" s="6">
        <f t="shared" si="5"/>
        <v>4</v>
      </c>
      <c r="C64" s="9" t="s">
        <v>60</v>
      </c>
      <c r="D64" s="8" t="s">
        <v>19</v>
      </c>
      <c r="E64" s="6" t="s">
        <v>61</v>
      </c>
      <c r="F64" s="6">
        <v>40</v>
      </c>
      <c r="G64" s="8"/>
      <c r="H64" s="8">
        <f t="shared" si="0"/>
        <v>0</v>
      </c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" thickBot="1" x14ac:dyDescent="0.4">
      <c r="A65" s="3"/>
      <c r="B65" s="6">
        <f t="shared" si="5"/>
        <v>5</v>
      </c>
      <c r="C65" s="9" t="s">
        <v>62</v>
      </c>
      <c r="D65" s="8" t="s">
        <v>19</v>
      </c>
      <c r="E65" s="6" t="s">
        <v>13</v>
      </c>
      <c r="F65" s="6">
        <v>2</v>
      </c>
      <c r="G65" s="8"/>
      <c r="H65" s="8">
        <f t="shared" si="0"/>
        <v>0</v>
      </c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" thickBot="1" x14ac:dyDescent="0.4">
      <c r="A66" s="3"/>
      <c r="B66" s="6">
        <f t="shared" si="5"/>
        <v>6</v>
      </c>
      <c r="C66" s="9" t="s">
        <v>63</v>
      </c>
      <c r="D66" s="8" t="s">
        <v>64</v>
      </c>
      <c r="E66" s="6" t="s">
        <v>34</v>
      </c>
      <c r="F66" s="6">
        <v>2</v>
      </c>
      <c r="G66" s="8"/>
      <c r="H66" s="8">
        <f t="shared" si="0"/>
        <v>0</v>
      </c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" thickBot="1" x14ac:dyDescent="0.4">
      <c r="A67" s="3"/>
      <c r="B67" s="6">
        <f t="shared" si="5"/>
        <v>7</v>
      </c>
      <c r="C67" s="9" t="s">
        <v>65</v>
      </c>
      <c r="D67" s="8" t="s">
        <v>64</v>
      </c>
      <c r="E67" s="6" t="s">
        <v>13</v>
      </c>
      <c r="F67" s="6">
        <v>2</v>
      </c>
      <c r="G67" s="8"/>
      <c r="H67" s="8">
        <f t="shared" si="0"/>
        <v>0</v>
      </c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" thickBot="1" x14ac:dyDescent="0.4">
      <c r="A68" s="3"/>
      <c r="B68" s="6">
        <f t="shared" si="5"/>
        <v>8</v>
      </c>
      <c r="C68" s="9" t="s">
        <v>136</v>
      </c>
      <c r="D68" s="8" t="s">
        <v>19</v>
      </c>
      <c r="E68" s="6" t="s">
        <v>13</v>
      </c>
      <c r="F68" s="6">
        <v>2</v>
      </c>
      <c r="G68" s="8"/>
      <c r="H68" s="8">
        <f t="shared" si="0"/>
        <v>0</v>
      </c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" thickBot="1" x14ac:dyDescent="0.4">
      <c r="A69" s="3"/>
      <c r="B69" s="6">
        <f t="shared" si="5"/>
        <v>9</v>
      </c>
      <c r="C69" s="9" t="s">
        <v>66</v>
      </c>
      <c r="D69" s="8" t="s">
        <v>19</v>
      </c>
      <c r="E69" s="6" t="s">
        <v>13</v>
      </c>
      <c r="F69" s="6">
        <v>12</v>
      </c>
      <c r="G69" s="8"/>
      <c r="H69" s="8">
        <f t="shared" si="0"/>
        <v>0</v>
      </c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" thickBot="1" x14ac:dyDescent="0.4">
      <c r="A70" s="3"/>
      <c r="B70" s="6">
        <f t="shared" si="5"/>
        <v>10</v>
      </c>
      <c r="C70" s="9" t="s">
        <v>137</v>
      </c>
      <c r="D70" s="8" t="s">
        <v>19</v>
      </c>
      <c r="E70" s="6" t="s">
        <v>13</v>
      </c>
      <c r="F70" s="6">
        <v>1</v>
      </c>
      <c r="G70" s="8"/>
      <c r="H70" s="8">
        <f t="shared" si="0"/>
        <v>0</v>
      </c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6" thickBot="1" x14ac:dyDescent="0.4">
      <c r="A71" s="3"/>
      <c r="B71" s="21"/>
      <c r="C71" s="22" t="s">
        <v>138</v>
      </c>
      <c r="D71" s="21"/>
      <c r="E71" s="21"/>
      <c r="F71" s="21"/>
      <c r="G71" s="21"/>
      <c r="H71" s="21">
        <f>SUM(H72:H83)</f>
        <v>15200</v>
      </c>
      <c r="I71" s="24">
        <f>H71/25830</f>
        <v>0.58846302748741774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" thickBot="1" x14ac:dyDescent="0.4">
      <c r="A72" s="3"/>
      <c r="B72" s="6">
        <v>1</v>
      </c>
      <c r="C72" s="9" t="s">
        <v>139</v>
      </c>
      <c r="D72" s="8" t="s">
        <v>67</v>
      </c>
      <c r="E72" s="6" t="s">
        <v>61</v>
      </c>
      <c r="F72" s="6">
        <v>240</v>
      </c>
      <c r="G72" s="8"/>
      <c r="H72" s="8">
        <f t="shared" si="0"/>
        <v>0</v>
      </c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" thickBot="1" x14ac:dyDescent="0.4">
      <c r="A73" s="3"/>
      <c r="B73" s="6">
        <f>B72+1</f>
        <v>2</v>
      </c>
      <c r="C73" s="9" t="s">
        <v>68</v>
      </c>
      <c r="D73" s="8" t="s">
        <v>64</v>
      </c>
      <c r="E73" s="6" t="s">
        <v>61</v>
      </c>
      <c r="F73" s="6">
        <v>160</v>
      </c>
      <c r="G73" s="8"/>
      <c r="H73" s="8">
        <f t="shared" si="0"/>
        <v>0</v>
      </c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" thickBot="1" x14ac:dyDescent="0.4">
      <c r="A74" s="3"/>
      <c r="B74" s="6">
        <f t="shared" ref="B74:B84" si="6">B73+1</f>
        <v>3</v>
      </c>
      <c r="C74" s="9" t="s">
        <v>69</v>
      </c>
      <c r="D74" s="8" t="s">
        <v>140</v>
      </c>
      <c r="E74" s="6" t="s">
        <v>13</v>
      </c>
      <c r="F74" s="6">
        <v>9</v>
      </c>
      <c r="G74" s="8"/>
      <c r="H74" s="8">
        <f t="shared" si="0"/>
        <v>0</v>
      </c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" thickBot="1" x14ac:dyDescent="0.4">
      <c r="A75" s="3"/>
      <c r="B75" s="6">
        <f t="shared" si="6"/>
        <v>4</v>
      </c>
      <c r="C75" s="9" t="s">
        <v>70</v>
      </c>
      <c r="D75" s="8" t="s">
        <v>140</v>
      </c>
      <c r="E75" s="6" t="s">
        <v>13</v>
      </c>
      <c r="F75" s="6">
        <v>9</v>
      </c>
      <c r="G75" s="8"/>
      <c r="H75" s="8">
        <f t="shared" si="0"/>
        <v>0</v>
      </c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" thickBot="1" x14ac:dyDescent="0.4">
      <c r="A76" s="3"/>
      <c r="B76" s="6">
        <f t="shared" si="6"/>
        <v>5</v>
      </c>
      <c r="C76" s="9" t="s">
        <v>71</v>
      </c>
      <c r="D76" s="8" t="s">
        <v>140</v>
      </c>
      <c r="E76" s="6" t="s">
        <v>61</v>
      </c>
      <c r="F76" s="6">
        <v>220</v>
      </c>
      <c r="G76" s="8"/>
      <c r="H76" s="8">
        <f t="shared" si="0"/>
        <v>0</v>
      </c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" thickBot="1" x14ac:dyDescent="0.4">
      <c r="A77" s="3"/>
      <c r="B77" s="6">
        <f t="shared" si="6"/>
        <v>6</v>
      </c>
      <c r="C77" s="9" t="s">
        <v>141</v>
      </c>
      <c r="D77" s="8" t="s">
        <v>28</v>
      </c>
      <c r="E77" s="6" t="s">
        <v>13</v>
      </c>
      <c r="F77" s="6">
        <v>40</v>
      </c>
      <c r="G77" s="8"/>
      <c r="H77" s="8">
        <f t="shared" si="0"/>
        <v>0</v>
      </c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" thickBot="1" x14ac:dyDescent="0.4">
      <c r="A78" s="3"/>
      <c r="B78" s="6">
        <f t="shared" si="6"/>
        <v>7</v>
      </c>
      <c r="C78" s="9" t="s">
        <v>73</v>
      </c>
      <c r="D78" s="8" t="s">
        <v>64</v>
      </c>
      <c r="E78" s="6" t="s">
        <v>39</v>
      </c>
      <c r="F78" s="6">
        <v>80</v>
      </c>
      <c r="G78" s="8"/>
      <c r="H78" s="8">
        <f t="shared" si="0"/>
        <v>0</v>
      </c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" thickBot="1" x14ac:dyDescent="0.4">
      <c r="A79" s="3"/>
      <c r="B79" s="6">
        <f t="shared" si="6"/>
        <v>8</v>
      </c>
      <c r="C79" s="9" t="s">
        <v>77</v>
      </c>
      <c r="D79" s="8" t="s">
        <v>78</v>
      </c>
      <c r="E79" s="6" t="s">
        <v>79</v>
      </c>
      <c r="F79" s="6">
        <v>2.5</v>
      </c>
      <c r="G79" s="8"/>
      <c r="H79" s="8">
        <f t="shared" si="0"/>
        <v>0</v>
      </c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0"/>
    </row>
    <row r="80" spans="1:29" ht="15" thickBot="1" x14ac:dyDescent="0.4">
      <c r="A80" s="3"/>
      <c r="B80" s="6">
        <f t="shared" si="6"/>
        <v>9</v>
      </c>
      <c r="C80" s="9" t="s">
        <v>142</v>
      </c>
      <c r="D80" s="8" t="s">
        <v>78</v>
      </c>
      <c r="E80" s="6" t="s">
        <v>79</v>
      </c>
      <c r="F80" s="6">
        <v>1.25</v>
      </c>
      <c r="G80" s="8"/>
      <c r="H80" s="8">
        <f t="shared" si="0"/>
        <v>0</v>
      </c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0"/>
    </row>
    <row r="81" spans="1:29" ht="15" thickBot="1" x14ac:dyDescent="0.4">
      <c r="A81" s="3"/>
      <c r="B81" s="6">
        <f t="shared" si="6"/>
        <v>10</v>
      </c>
      <c r="C81" s="9" t="s">
        <v>80</v>
      </c>
      <c r="D81" s="8" t="s">
        <v>28</v>
      </c>
      <c r="E81" s="6" t="s">
        <v>81</v>
      </c>
      <c r="F81" s="6">
        <v>1</v>
      </c>
      <c r="G81" s="8">
        <v>3000</v>
      </c>
      <c r="H81" s="8">
        <f t="shared" si="0"/>
        <v>3000</v>
      </c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0"/>
    </row>
    <row r="82" spans="1:29" ht="15" thickBot="1" x14ac:dyDescent="0.4">
      <c r="A82" s="3"/>
      <c r="B82" s="6">
        <f t="shared" si="6"/>
        <v>11</v>
      </c>
      <c r="C82" s="9" t="s">
        <v>143</v>
      </c>
      <c r="D82" s="8" t="s">
        <v>28</v>
      </c>
      <c r="E82" s="6" t="s">
        <v>82</v>
      </c>
      <c r="F82" s="6">
        <v>9</v>
      </c>
      <c r="G82" s="8">
        <v>1000</v>
      </c>
      <c r="H82" s="8">
        <f>F82*G82</f>
        <v>9000</v>
      </c>
      <c r="I82" s="8" t="s">
        <v>83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9" ht="15" thickBot="1" x14ac:dyDescent="0.4">
      <c r="A83" s="3"/>
      <c r="B83" s="6">
        <f t="shared" si="6"/>
        <v>12</v>
      </c>
      <c r="C83" s="9" t="s">
        <v>84</v>
      </c>
      <c r="D83" s="8" t="s">
        <v>28</v>
      </c>
      <c r="E83" s="6" t="s">
        <v>81</v>
      </c>
      <c r="F83" s="6">
        <v>8</v>
      </c>
      <c r="G83" s="8">
        <v>400</v>
      </c>
      <c r="H83" s="8">
        <f>F83*G83</f>
        <v>3200</v>
      </c>
      <c r="I83" s="8" t="s">
        <v>83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9" ht="15" thickBot="1" x14ac:dyDescent="0.4">
      <c r="A84" s="3"/>
      <c r="B84" s="6">
        <f t="shared" si="6"/>
        <v>13</v>
      </c>
      <c r="C84" s="17" t="s">
        <v>85</v>
      </c>
      <c r="D84" s="9"/>
      <c r="E84" s="6"/>
      <c r="F84" s="6"/>
      <c r="G84" s="8"/>
      <c r="H84" s="11">
        <f>H14+H15+H16+H23+H31+H35+H53+H60+H71</f>
        <v>15200</v>
      </c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9" ht="15" thickBot="1" x14ac:dyDescent="0.4">
      <c r="A85" s="3"/>
      <c r="B85" s="6"/>
      <c r="C85" s="9"/>
      <c r="D85" s="8"/>
      <c r="E85" s="6"/>
      <c r="F85" s="6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0"/>
    </row>
    <row r="86" spans="1:29" ht="15" thickBot="1" x14ac:dyDescent="0.4">
      <c r="A86" s="3"/>
      <c r="B86" s="12"/>
      <c r="C86" s="13" t="s">
        <v>144</v>
      </c>
      <c r="D86" s="26"/>
      <c r="E86" s="15" t="s">
        <v>86</v>
      </c>
      <c r="F86" s="15" t="s">
        <v>87</v>
      </c>
      <c r="G86" s="16" t="s">
        <v>88</v>
      </c>
      <c r="H86" s="16" t="s">
        <v>89</v>
      </c>
      <c r="I86" s="1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9" ht="15" thickBot="1" x14ac:dyDescent="0.4">
      <c r="A87" s="3"/>
      <c r="B87" s="6">
        <v>1</v>
      </c>
      <c r="C87" s="9" t="s">
        <v>160</v>
      </c>
      <c r="D87" s="9"/>
      <c r="E87" s="6" t="s">
        <v>90</v>
      </c>
      <c r="F87" s="6">
        <v>1</v>
      </c>
      <c r="G87" s="8"/>
      <c r="H87" s="8">
        <f t="shared" ref="H87:H93" si="7">F87*G87</f>
        <v>0</v>
      </c>
      <c r="I87" s="8" t="s">
        <v>91</v>
      </c>
      <c r="J87" s="1" t="s">
        <v>145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9" ht="15" thickBot="1" x14ac:dyDescent="0.4">
      <c r="A88" s="3"/>
      <c r="B88" s="6">
        <f>B87+1</f>
        <v>2</v>
      </c>
      <c r="C88" s="9" t="s">
        <v>146</v>
      </c>
      <c r="D88" s="9"/>
      <c r="E88" s="6" t="s">
        <v>90</v>
      </c>
      <c r="F88" s="6">
        <v>1</v>
      </c>
      <c r="G88" s="8"/>
      <c r="H88" s="8">
        <f t="shared" si="7"/>
        <v>0</v>
      </c>
      <c r="I88" s="8" t="s">
        <v>147</v>
      </c>
      <c r="J88" s="1" t="s">
        <v>145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9" ht="15" thickBot="1" x14ac:dyDescent="0.4">
      <c r="A89" s="3"/>
      <c r="B89" s="6">
        <f t="shared" ref="B89:B96" si="8">B88+1</f>
        <v>3</v>
      </c>
      <c r="C89" s="9" t="s">
        <v>92</v>
      </c>
      <c r="D89" s="9"/>
      <c r="E89" s="6" t="s">
        <v>93</v>
      </c>
      <c r="F89" s="6"/>
      <c r="G89" s="8"/>
      <c r="H89" s="8">
        <f t="shared" si="7"/>
        <v>0</v>
      </c>
      <c r="I89" s="8" t="s">
        <v>148</v>
      </c>
      <c r="J89" s="1" t="s">
        <v>145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9" ht="15" thickBot="1" x14ac:dyDescent="0.4">
      <c r="A90" s="3"/>
      <c r="B90" s="6">
        <f t="shared" si="8"/>
        <v>4</v>
      </c>
      <c r="C90" s="9" t="s">
        <v>149</v>
      </c>
      <c r="D90" s="9"/>
      <c r="E90" s="6" t="s">
        <v>94</v>
      </c>
      <c r="F90" s="6">
        <v>1</v>
      </c>
      <c r="G90" s="8"/>
      <c r="H90" s="8">
        <f t="shared" si="7"/>
        <v>0</v>
      </c>
      <c r="I90" s="8"/>
      <c r="J90" s="1" t="s">
        <v>145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9" ht="15" thickBot="1" x14ac:dyDescent="0.4">
      <c r="A91" s="3"/>
      <c r="B91" s="6">
        <f t="shared" si="8"/>
        <v>5</v>
      </c>
      <c r="C91" s="9" t="s">
        <v>96</v>
      </c>
      <c r="D91" s="9"/>
      <c r="E91" s="6" t="s">
        <v>97</v>
      </c>
      <c r="F91" s="6"/>
      <c r="G91" s="8"/>
      <c r="H91" s="8">
        <f t="shared" si="7"/>
        <v>0</v>
      </c>
      <c r="I91" s="8" t="s">
        <v>98</v>
      </c>
      <c r="J91" s="1" t="s">
        <v>145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9" ht="15" thickBot="1" x14ac:dyDescent="0.4">
      <c r="A92" s="3"/>
      <c r="B92" s="6">
        <f t="shared" si="8"/>
        <v>6</v>
      </c>
      <c r="C92" s="9" t="s">
        <v>99</v>
      </c>
      <c r="D92" s="9"/>
      <c r="E92" s="6" t="s">
        <v>100</v>
      </c>
      <c r="F92" s="6">
        <v>2</v>
      </c>
      <c r="G92" s="8"/>
      <c r="H92" s="8">
        <f t="shared" si="7"/>
        <v>0</v>
      </c>
      <c r="I92" s="8" t="s">
        <v>98</v>
      </c>
      <c r="J92" s="1" t="s">
        <v>145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9" ht="15" thickBot="1" x14ac:dyDescent="0.4">
      <c r="A93" s="3"/>
      <c r="B93" s="6">
        <f t="shared" si="8"/>
        <v>7</v>
      </c>
      <c r="C93" s="9" t="s">
        <v>101</v>
      </c>
      <c r="D93" s="9"/>
      <c r="E93" s="6" t="s">
        <v>100</v>
      </c>
      <c r="F93" s="6">
        <v>1</v>
      </c>
      <c r="G93" s="8"/>
      <c r="H93" s="8">
        <f t="shared" si="7"/>
        <v>0</v>
      </c>
      <c r="I93" s="8" t="s">
        <v>83</v>
      </c>
      <c r="J93" s="1" t="s">
        <v>145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9" ht="15" thickBot="1" x14ac:dyDescent="0.4">
      <c r="A94" s="3" t="s">
        <v>102</v>
      </c>
      <c r="B94" s="6">
        <f t="shared" si="8"/>
        <v>8</v>
      </c>
      <c r="C94" s="9" t="s">
        <v>103</v>
      </c>
      <c r="D94" s="9"/>
      <c r="E94" s="6"/>
      <c r="F94" s="6"/>
      <c r="G94" s="8"/>
      <c r="H94" s="8" t="s">
        <v>104</v>
      </c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9" ht="15" thickBot="1" x14ac:dyDescent="0.4">
      <c r="A95" s="3"/>
      <c r="B95" s="6">
        <f t="shared" si="8"/>
        <v>9</v>
      </c>
      <c r="C95" s="9" t="s">
        <v>85</v>
      </c>
      <c r="D95" s="9"/>
      <c r="E95" s="6"/>
      <c r="F95" s="6"/>
      <c r="G95" s="8"/>
      <c r="H95" s="11">
        <f>SUM(H87:H94)</f>
        <v>0</v>
      </c>
      <c r="I95" s="24">
        <f>H95/25830</f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9" ht="15" thickBot="1" x14ac:dyDescent="0.4">
      <c r="A96" s="3"/>
      <c r="B96" s="6">
        <f t="shared" si="8"/>
        <v>10</v>
      </c>
      <c r="C96" s="17" t="s">
        <v>105</v>
      </c>
      <c r="D96" s="9"/>
      <c r="E96" s="6"/>
      <c r="F96" s="6"/>
      <c r="G96" s="8"/>
      <c r="H96" s="11">
        <f>H84+H95</f>
        <v>15200</v>
      </c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9" ht="15" thickBot="1" x14ac:dyDescent="0.4">
      <c r="A97" s="3"/>
      <c r="B97" s="15"/>
      <c r="C97" s="13" t="s">
        <v>106</v>
      </c>
      <c r="D97" s="16" t="s">
        <v>150</v>
      </c>
      <c r="E97" s="15" t="s">
        <v>107</v>
      </c>
      <c r="F97" s="15"/>
      <c r="G97" s="16" t="s">
        <v>151</v>
      </c>
      <c r="H97" s="16"/>
      <c r="I97" s="1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9" ht="15" thickBot="1" x14ac:dyDescent="0.4">
      <c r="A98" s="3"/>
      <c r="B98" s="6">
        <v>1</v>
      </c>
      <c r="C98" s="9" t="s">
        <v>108</v>
      </c>
      <c r="D98" s="18">
        <v>46120</v>
      </c>
      <c r="E98" s="19"/>
      <c r="F98" s="6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9" ht="15" thickBot="1" x14ac:dyDescent="0.4">
      <c r="A99" s="3"/>
      <c r="B99" s="6">
        <v>2</v>
      </c>
      <c r="C99" s="9" t="s">
        <v>152</v>
      </c>
      <c r="D99" s="18">
        <v>46121</v>
      </c>
      <c r="E99" s="18">
        <v>46123</v>
      </c>
      <c r="F99" s="6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9" ht="15" thickBot="1" x14ac:dyDescent="0.4">
      <c r="A100" s="3"/>
      <c r="B100" s="6">
        <v>3</v>
      </c>
      <c r="C100" s="9" t="s">
        <v>109</v>
      </c>
      <c r="D100" s="8" t="s">
        <v>153</v>
      </c>
      <c r="E100" s="19"/>
      <c r="F100" s="6"/>
      <c r="G100" s="1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9" ht="15" thickBot="1" x14ac:dyDescent="0.4">
      <c r="A101" s="3"/>
      <c r="B101" s="6">
        <v>4</v>
      </c>
      <c r="C101" s="9" t="s">
        <v>110</v>
      </c>
      <c r="D101" s="8" t="s">
        <v>153</v>
      </c>
      <c r="E101" s="6"/>
      <c r="F101" s="6"/>
      <c r="G101" s="1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9" ht="15" thickBot="1" x14ac:dyDescent="0.4">
      <c r="A102" s="3"/>
      <c r="B102" s="6">
        <v>5</v>
      </c>
      <c r="C102" s="9" t="s">
        <v>154</v>
      </c>
      <c r="D102" s="8" t="s">
        <v>153</v>
      </c>
      <c r="E102" s="6"/>
      <c r="F102" s="6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9" ht="15" thickBot="1" x14ac:dyDescent="0.4">
      <c r="A103" s="3"/>
      <c r="B103" s="6">
        <v>6</v>
      </c>
      <c r="C103" s="9" t="s">
        <v>155</v>
      </c>
      <c r="D103" s="8" t="s">
        <v>153</v>
      </c>
      <c r="E103" s="6"/>
      <c r="F103" s="6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9" ht="15" thickBot="1" x14ac:dyDescent="0.4">
      <c r="A104" s="3"/>
      <c r="B104" s="6">
        <v>7</v>
      </c>
      <c r="C104" s="9" t="s">
        <v>95</v>
      </c>
      <c r="D104" s="8" t="s">
        <v>153</v>
      </c>
      <c r="E104" s="6"/>
      <c r="F104" s="6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9" ht="15" thickBot="1" x14ac:dyDescent="0.4">
      <c r="A105" s="3"/>
      <c r="B105" s="6">
        <v>8</v>
      </c>
      <c r="C105" s="9" t="s">
        <v>111</v>
      </c>
      <c r="D105" s="8" t="s">
        <v>153</v>
      </c>
      <c r="E105" s="6"/>
      <c r="F105" s="6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9" ht="15" thickBot="1" x14ac:dyDescent="0.4">
      <c r="A106" s="1"/>
      <c r="B106" s="6">
        <v>9</v>
      </c>
      <c r="C106" s="9" t="s">
        <v>112</v>
      </c>
      <c r="D106" s="8" t="s">
        <v>153</v>
      </c>
      <c r="E106" s="6"/>
      <c r="F106" s="6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9" ht="15" thickBot="1" x14ac:dyDescent="0.4">
      <c r="A107" s="1"/>
      <c r="B107" s="6">
        <v>10</v>
      </c>
      <c r="C107" s="9" t="s">
        <v>113</v>
      </c>
      <c r="D107" s="8" t="s">
        <v>153</v>
      </c>
      <c r="E107" s="6"/>
      <c r="F107" s="6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9" ht="15" thickBot="1" x14ac:dyDescent="0.4">
      <c r="A108" s="1"/>
      <c r="B108" s="6">
        <v>11</v>
      </c>
      <c r="C108" s="9" t="s">
        <v>156</v>
      </c>
      <c r="D108" s="8" t="s">
        <v>153</v>
      </c>
      <c r="E108" s="6"/>
      <c r="F108" s="6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9" ht="15" thickBot="1" x14ac:dyDescent="0.4">
      <c r="A109" s="3"/>
      <c r="B109" s="6"/>
      <c r="C109" s="9"/>
      <c r="D109" s="8"/>
      <c r="E109" s="6"/>
      <c r="F109" s="6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" thickBot="1" x14ac:dyDescent="0.4">
      <c r="A110" s="3"/>
      <c r="B110" s="6"/>
      <c r="C110" s="9"/>
      <c r="D110" s="8"/>
      <c r="E110" s="6"/>
      <c r="F110" s="6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" thickBot="1" x14ac:dyDescent="0.4">
      <c r="A111" s="3"/>
      <c r="B111" s="6"/>
      <c r="C111" s="9"/>
      <c r="D111" s="8"/>
      <c r="E111" s="6"/>
      <c r="F111" s="6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" thickBot="1" x14ac:dyDescent="0.4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" thickBot="1" x14ac:dyDescent="0.4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" thickBot="1" x14ac:dyDescent="0.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" thickBot="1" x14ac:dyDescent="0.4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" thickBot="1" x14ac:dyDescent="0.4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" thickBot="1" x14ac:dyDescent="0.4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" thickBot="1" x14ac:dyDescent="0.4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" thickBot="1" x14ac:dyDescent="0.4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" thickBot="1" x14ac:dyDescent="0.4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" thickBot="1" x14ac:dyDescent="0.4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" thickBot="1" x14ac:dyDescent="0.4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" thickBot="1" x14ac:dyDescent="0.4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" thickBot="1" x14ac:dyDescent="0.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" thickBot="1" x14ac:dyDescent="0.4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" thickBot="1" x14ac:dyDescent="0.4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" thickBot="1" x14ac:dyDescent="0.4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" thickBot="1" x14ac:dyDescent="0.4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" thickBot="1" x14ac:dyDescent="0.4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" thickBot="1" x14ac:dyDescent="0.4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" thickBot="1" x14ac:dyDescent="0.4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" thickBot="1" x14ac:dyDescent="0.4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" thickBot="1" x14ac:dyDescent="0.4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" thickBot="1" x14ac:dyDescent="0.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" thickBot="1" x14ac:dyDescent="0.4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" thickBot="1" x14ac:dyDescent="0.4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" thickBot="1" x14ac:dyDescent="0.4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" thickBot="1" x14ac:dyDescent="0.4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" thickBot="1" x14ac:dyDescent="0.4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" thickBot="1" x14ac:dyDescent="0.4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" thickBot="1" x14ac:dyDescent="0.4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" thickBot="1" x14ac:dyDescent="0.4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" thickBot="1" x14ac:dyDescent="0.4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" thickBot="1" x14ac:dyDescent="0.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" thickBot="1" x14ac:dyDescent="0.4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" thickBot="1" x14ac:dyDescent="0.4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" thickBot="1" x14ac:dyDescent="0.4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" thickBot="1" x14ac:dyDescent="0.4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" thickBot="1" x14ac:dyDescent="0.4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" thickBot="1" x14ac:dyDescent="0.4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" thickBot="1" x14ac:dyDescent="0.4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" thickBot="1" x14ac:dyDescent="0.4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" thickBot="1" x14ac:dyDescent="0.4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" thickBot="1" x14ac:dyDescent="0.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" thickBot="1" x14ac:dyDescent="0.4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" thickBot="1" x14ac:dyDescent="0.4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" thickBot="1" x14ac:dyDescent="0.4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" thickBot="1" x14ac:dyDescent="0.4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" thickBot="1" x14ac:dyDescent="0.4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" thickBot="1" x14ac:dyDescent="0.4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" thickBot="1" x14ac:dyDescent="0.4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" thickBot="1" x14ac:dyDescent="0.4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" thickBot="1" x14ac:dyDescent="0.4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" thickBot="1" x14ac:dyDescent="0.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" thickBot="1" x14ac:dyDescent="0.4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" thickBot="1" x14ac:dyDescent="0.4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" thickBot="1" x14ac:dyDescent="0.4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" thickBot="1" x14ac:dyDescent="0.4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" thickBot="1" x14ac:dyDescent="0.4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" thickBot="1" x14ac:dyDescent="0.4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" thickBot="1" x14ac:dyDescent="0.4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" thickBot="1" x14ac:dyDescent="0.4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" thickBot="1" x14ac:dyDescent="0.4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" thickBot="1" x14ac:dyDescent="0.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" thickBot="1" x14ac:dyDescent="0.4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" thickBot="1" x14ac:dyDescent="0.4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" thickBot="1" x14ac:dyDescent="0.4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" thickBot="1" x14ac:dyDescent="0.4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" thickBot="1" x14ac:dyDescent="0.4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" thickBot="1" x14ac:dyDescent="0.4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" thickBot="1" x14ac:dyDescent="0.4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" thickBot="1" x14ac:dyDescent="0.4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" thickBot="1" x14ac:dyDescent="0.4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" thickBot="1" x14ac:dyDescent="0.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" thickBot="1" x14ac:dyDescent="0.4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" thickBot="1" x14ac:dyDescent="0.4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" thickBot="1" x14ac:dyDescent="0.4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" thickBot="1" x14ac:dyDescent="0.4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" thickBot="1" x14ac:dyDescent="0.4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" thickBot="1" x14ac:dyDescent="0.4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" thickBot="1" x14ac:dyDescent="0.4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" thickBot="1" x14ac:dyDescent="0.4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" thickBot="1" x14ac:dyDescent="0.4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" thickBot="1" x14ac:dyDescent="0.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" thickBot="1" x14ac:dyDescent="0.4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" thickBot="1" x14ac:dyDescent="0.4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" thickBot="1" x14ac:dyDescent="0.4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" thickBot="1" x14ac:dyDescent="0.4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" thickBot="1" x14ac:dyDescent="0.4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" thickBot="1" x14ac:dyDescent="0.4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" thickBot="1" x14ac:dyDescent="0.4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" thickBot="1" x14ac:dyDescent="0.4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" thickBot="1" x14ac:dyDescent="0.4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" thickBot="1" x14ac:dyDescent="0.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" thickBot="1" x14ac:dyDescent="0.4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" thickBot="1" x14ac:dyDescent="0.4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" thickBot="1" x14ac:dyDescent="0.4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" thickBot="1" x14ac:dyDescent="0.4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" thickBot="1" x14ac:dyDescent="0.4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" thickBot="1" x14ac:dyDescent="0.4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" thickBot="1" x14ac:dyDescent="0.4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" thickBot="1" x14ac:dyDescent="0.4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" thickBot="1" x14ac:dyDescent="0.4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" thickBot="1" x14ac:dyDescent="0.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" thickBot="1" x14ac:dyDescent="0.4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" thickBot="1" x14ac:dyDescent="0.4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" thickBot="1" x14ac:dyDescent="0.4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" thickBot="1" x14ac:dyDescent="0.4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" thickBot="1" x14ac:dyDescent="0.4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" thickBot="1" x14ac:dyDescent="0.4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" thickBot="1" x14ac:dyDescent="0.4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" thickBot="1" x14ac:dyDescent="0.4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" thickBot="1" x14ac:dyDescent="0.4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" thickBot="1" x14ac:dyDescent="0.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" thickBot="1" x14ac:dyDescent="0.4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" thickBot="1" x14ac:dyDescent="0.4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" thickBot="1" x14ac:dyDescent="0.4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" thickBot="1" x14ac:dyDescent="0.4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" thickBot="1" x14ac:dyDescent="0.4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" thickBot="1" x14ac:dyDescent="0.4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" thickBot="1" x14ac:dyDescent="0.4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" thickBot="1" x14ac:dyDescent="0.4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" thickBot="1" x14ac:dyDescent="0.4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" thickBot="1" x14ac:dyDescent="0.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" thickBot="1" x14ac:dyDescent="0.4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" thickBot="1" x14ac:dyDescent="0.4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" thickBot="1" x14ac:dyDescent="0.4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" thickBot="1" x14ac:dyDescent="0.4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" thickBot="1" x14ac:dyDescent="0.4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" thickBot="1" x14ac:dyDescent="0.4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" thickBot="1" x14ac:dyDescent="0.4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" thickBot="1" x14ac:dyDescent="0.4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" thickBot="1" x14ac:dyDescent="0.4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" thickBot="1" x14ac:dyDescent="0.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" thickBot="1" x14ac:dyDescent="0.4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" thickBot="1" x14ac:dyDescent="0.4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" thickBot="1" x14ac:dyDescent="0.4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" thickBot="1" x14ac:dyDescent="0.4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" thickBot="1" x14ac:dyDescent="0.4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" thickBot="1" x14ac:dyDescent="0.4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" thickBot="1" x14ac:dyDescent="0.4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" thickBot="1" x14ac:dyDescent="0.4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" thickBot="1" x14ac:dyDescent="0.4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" thickBot="1" x14ac:dyDescent="0.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" thickBot="1" x14ac:dyDescent="0.4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" thickBot="1" x14ac:dyDescent="0.4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" thickBot="1" x14ac:dyDescent="0.4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" thickBot="1" x14ac:dyDescent="0.4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" thickBot="1" x14ac:dyDescent="0.4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" thickBot="1" x14ac:dyDescent="0.4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" thickBot="1" x14ac:dyDescent="0.4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" thickBot="1" x14ac:dyDescent="0.4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" thickBot="1" x14ac:dyDescent="0.4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" thickBot="1" x14ac:dyDescent="0.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" thickBot="1" x14ac:dyDescent="0.4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" thickBot="1" x14ac:dyDescent="0.4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" thickBot="1" x14ac:dyDescent="0.4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" thickBot="1" x14ac:dyDescent="0.4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" thickBot="1" x14ac:dyDescent="0.4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" thickBot="1" x14ac:dyDescent="0.4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" thickBot="1" x14ac:dyDescent="0.4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" thickBot="1" x14ac:dyDescent="0.4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" thickBot="1" x14ac:dyDescent="0.4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" thickBot="1" x14ac:dyDescent="0.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" thickBot="1" x14ac:dyDescent="0.4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" thickBot="1" x14ac:dyDescent="0.4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" thickBot="1" x14ac:dyDescent="0.4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" thickBot="1" x14ac:dyDescent="0.4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" thickBot="1" x14ac:dyDescent="0.4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" thickBot="1" x14ac:dyDescent="0.4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" thickBot="1" x14ac:dyDescent="0.4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" thickBot="1" x14ac:dyDescent="0.4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" thickBot="1" x14ac:dyDescent="0.4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" thickBot="1" x14ac:dyDescent="0.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" thickBot="1" x14ac:dyDescent="0.4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" thickBot="1" x14ac:dyDescent="0.4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" thickBot="1" x14ac:dyDescent="0.4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" thickBot="1" x14ac:dyDescent="0.4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" thickBot="1" x14ac:dyDescent="0.4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" thickBot="1" x14ac:dyDescent="0.4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" thickBot="1" x14ac:dyDescent="0.4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" thickBot="1" x14ac:dyDescent="0.4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" thickBot="1" x14ac:dyDescent="0.4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" thickBot="1" x14ac:dyDescent="0.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" thickBot="1" x14ac:dyDescent="0.4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" thickBot="1" x14ac:dyDescent="0.4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" thickBot="1" x14ac:dyDescent="0.4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" thickBot="1" x14ac:dyDescent="0.4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" thickBot="1" x14ac:dyDescent="0.4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" thickBot="1" x14ac:dyDescent="0.4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" thickBot="1" x14ac:dyDescent="0.4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" thickBot="1" x14ac:dyDescent="0.4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" thickBot="1" x14ac:dyDescent="0.4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" thickBot="1" x14ac:dyDescent="0.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" thickBot="1" x14ac:dyDescent="0.4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" thickBot="1" x14ac:dyDescent="0.4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" thickBot="1" x14ac:dyDescent="0.4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" thickBot="1" x14ac:dyDescent="0.4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" thickBot="1" x14ac:dyDescent="0.4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" thickBot="1" x14ac:dyDescent="0.4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" thickBot="1" x14ac:dyDescent="0.4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" thickBot="1" x14ac:dyDescent="0.4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" thickBot="1" x14ac:dyDescent="0.4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" thickBot="1" x14ac:dyDescent="0.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" thickBot="1" x14ac:dyDescent="0.4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" thickBot="1" x14ac:dyDescent="0.4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" thickBot="1" x14ac:dyDescent="0.4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" thickBot="1" x14ac:dyDescent="0.4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" thickBot="1" x14ac:dyDescent="0.4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" thickBot="1" x14ac:dyDescent="0.4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" thickBot="1" x14ac:dyDescent="0.4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" thickBot="1" x14ac:dyDescent="0.4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" thickBot="1" x14ac:dyDescent="0.4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" thickBot="1" x14ac:dyDescent="0.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" thickBot="1" x14ac:dyDescent="0.4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" thickBot="1" x14ac:dyDescent="0.4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" thickBot="1" x14ac:dyDescent="0.4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" thickBot="1" x14ac:dyDescent="0.4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" thickBot="1" x14ac:dyDescent="0.4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" thickBot="1" x14ac:dyDescent="0.4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" thickBot="1" x14ac:dyDescent="0.4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" thickBot="1" x14ac:dyDescent="0.4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" thickBot="1" x14ac:dyDescent="0.4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" thickBot="1" x14ac:dyDescent="0.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" thickBot="1" x14ac:dyDescent="0.4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" thickBot="1" x14ac:dyDescent="0.4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" thickBot="1" x14ac:dyDescent="0.4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" thickBot="1" x14ac:dyDescent="0.4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" thickBot="1" x14ac:dyDescent="0.4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" thickBot="1" x14ac:dyDescent="0.4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" thickBot="1" x14ac:dyDescent="0.4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" thickBot="1" x14ac:dyDescent="0.4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" thickBot="1" x14ac:dyDescent="0.4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" thickBot="1" x14ac:dyDescent="0.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" thickBot="1" x14ac:dyDescent="0.4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" thickBot="1" x14ac:dyDescent="0.4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" thickBot="1" x14ac:dyDescent="0.4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" thickBot="1" x14ac:dyDescent="0.4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" thickBot="1" x14ac:dyDescent="0.4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" thickBot="1" x14ac:dyDescent="0.4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" thickBot="1" x14ac:dyDescent="0.4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" thickBot="1" x14ac:dyDescent="0.4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" thickBot="1" x14ac:dyDescent="0.4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" thickBot="1" x14ac:dyDescent="0.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" thickBot="1" x14ac:dyDescent="0.4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" thickBot="1" x14ac:dyDescent="0.4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" thickBot="1" x14ac:dyDescent="0.4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" thickBot="1" x14ac:dyDescent="0.4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" thickBot="1" x14ac:dyDescent="0.4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" thickBot="1" x14ac:dyDescent="0.4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" thickBot="1" x14ac:dyDescent="0.4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" thickBot="1" x14ac:dyDescent="0.4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" thickBot="1" x14ac:dyDescent="0.4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" thickBot="1" x14ac:dyDescent="0.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" thickBot="1" x14ac:dyDescent="0.4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" thickBot="1" x14ac:dyDescent="0.4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" thickBot="1" x14ac:dyDescent="0.4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" thickBot="1" x14ac:dyDescent="0.4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" thickBot="1" x14ac:dyDescent="0.4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" thickBot="1" x14ac:dyDescent="0.4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" thickBot="1" x14ac:dyDescent="0.4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" thickBot="1" x14ac:dyDescent="0.4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" thickBot="1" x14ac:dyDescent="0.4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" thickBot="1" x14ac:dyDescent="0.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" thickBot="1" x14ac:dyDescent="0.4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" thickBot="1" x14ac:dyDescent="0.4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" thickBot="1" x14ac:dyDescent="0.4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" thickBot="1" x14ac:dyDescent="0.4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" thickBot="1" x14ac:dyDescent="0.4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" thickBot="1" x14ac:dyDescent="0.4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" thickBot="1" x14ac:dyDescent="0.4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" thickBot="1" x14ac:dyDescent="0.4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" thickBot="1" x14ac:dyDescent="0.4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" thickBot="1" x14ac:dyDescent="0.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" thickBot="1" x14ac:dyDescent="0.4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" thickBot="1" x14ac:dyDescent="0.4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" thickBot="1" x14ac:dyDescent="0.4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" thickBot="1" x14ac:dyDescent="0.4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" thickBot="1" x14ac:dyDescent="0.4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" thickBot="1" x14ac:dyDescent="0.4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" thickBot="1" x14ac:dyDescent="0.4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" thickBot="1" x14ac:dyDescent="0.4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" thickBot="1" x14ac:dyDescent="0.4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" thickBot="1" x14ac:dyDescent="0.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" thickBot="1" x14ac:dyDescent="0.4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" thickBot="1" x14ac:dyDescent="0.4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" thickBot="1" x14ac:dyDescent="0.4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" thickBot="1" x14ac:dyDescent="0.4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" thickBot="1" x14ac:dyDescent="0.4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" thickBot="1" x14ac:dyDescent="0.4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" thickBot="1" x14ac:dyDescent="0.4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" thickBot="1" x14ac:dyDescent="0.4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" thickBot="1" x14ac:dyDescent="0.4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" thickBot="1" x14ac:dyDescent="0.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" thickBot="1" x14ac:dyDescent="0.4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" thickBot="1" x14ac:dyDescent="0.4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" thickBot="1" x14ac:dyDescent="0.4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" thickBot="1" x14ac:dyDescent="0.4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" thickBot="1" x14ac:dyDescent="0.4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" thickBot="1" x14ac:dyDescent="0.4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" thickBot="1" x14ac:dyDescent="0.4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" thickBot="1" x14ac:dyDescent="0.4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" thickBot="1" x14ac:dyDescent="0.4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" thickBot="1" x14ac:dyDescent="0.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" thickBot="1" x14ac:dyDescent="0.4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" thickBot="1" x14ac:dyDescent="0.4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" thickBot="1" x14ac:dyDescent="0.4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" thickBot="1" x14ac:dyDescent="0.4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" thickBot="1" x14ac:dyDescent="0.4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" thickBot="1" x14ac:dyDescent="0.4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" thickBot="1" x14ac:dyDescent="0.4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" thickBot="1" x14ac:dyDescent="0.4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" thickBot="1" x14ac:dyDescent="0.4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" thickBot="1" x14ac:dyDescent="0.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" thickBot="1" x14ac:dyDescent="0.4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" thickBot="1" x14ac:dyDescent="0.4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" thickBot="1" x14ac:dyDescent="0.4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" thickBot="1" x14ac:dyDescent="0.4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" thickBot="1" x14ac:dyDescent="0.4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" thickBot="1" x14ac:dyDescent="0.4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" thickBot="1" x14ac:dyDescent="0.4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" thickBot="1" x14ac:dyDescent="0.4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" thickBot="1" x14ac:dyDescent="0.4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" thickBot="1" x14ac:dyDescent="0.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" thickBot="1" x14ac:dyDescent="0.4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" thickBot="1" x14ac:dyDescent="0.4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" thickBot="1" x14ac:dyDescent="0.4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" thickBot="1" x14ac:dyDescent="0.4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" thickBot="1" x14ac:dyDescent="0.4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" thickBot="1" x14ac:dyDescent="0.4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" thickBot="1" x14ac:dyDescent="0.4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" thickBot="1" x14ac:dyDescent="0.4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" thickBot="1" x14ac:dyDescent="0.4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" thickBot="1" x14ac:dyDescent="0.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" thickBot="1" x14ac:dyDescent="0.4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" thickBot="1" x14ac:dyDescent="0.4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" thickBot="1" x14ac:dyDescent="0.4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" thickBot="1" x14ac:dyDescent="0.4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" thickBot="1" x14ac:dyDescent="0.4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" thickBot="1" x14ac:dyDescent="0.4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" thickBot="1" x14ac:dyDescent="0.4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" thickBot="1" x14ac:dyDescent="0.4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" thickBot="1" x14ac:dyDescent="0.4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" thickBot="1" x14ac:dyDescent="0.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" thickBot="1" x14ac:dyDescent="0.4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" thickBot="1" x14ac:dyDescent="0.4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" thickBot="1" x14ac:dyDescent="0.4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" thickBot="1" x14ac:dyDescent="0.4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" thickBot="1" x14ac:dyDescent="0.4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" thickBot="1" x14ac:dyDescent="0.4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" thickBot="1" x14ac:dyDescent="0.4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" thickBot="1" x14ac:dyDescent="0.4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" thickBot="1" x14ac:dyDescent="0.4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" thickBot="1" x14ac:dyDescent="0.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" thickBot="1" x14ac:dyDescent="0.4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" thickBot="1" x14ac:dyDescent="0.4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" thickBot="1" x14ac:dyDescent="0.4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" thickBot="1" x14ac:dyDescent="0.4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" thickBot="1" x14ac:dyDescent="0.4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" thickBot="1" x14ac:dyDescent="0.4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" thickBot="1" x14ac:dyDescent="0.4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" thickBot="1" x14ac:dyDescent="0.4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" thickBot="1" x14ac:dyDescent="0.4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" thickBot="1" x14ac:dyDescent="0.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" thickBot="1" x14ac:dyDescent="0.4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" thickBot="1" x14ac:dyDescent="0.4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" thickBot="1" x14ac:dyDescent="0.4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" thickBot="1" x14ac:dyDescent="0.4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" thickBot="1" x14ac:dyDescent="0.4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" thickBot="1" x14ac:dyDescent="0.4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" thickBot="1" x14ac:dyDescent="0.4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" thickBot="1" x14ac:dyDescent="0.4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" thickBot="1" x14ac:dyDescent="0.4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" thickBot="1" x14ac:dyDescent="0.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" thickBot="1" x14ac:dyDescent="0.4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" thickBot="1" x14ac:dyDescent="0.4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" thickBot="1" x14ac:dyDescent="0.4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" thickBot="1" x14ac:dyDescent="0.4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" thickBot="1" x14ac:dyDescent="0.4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" thickBot="1" x14ac:dyDescent="0.4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" thickBot="1" x14ac:dyDescent="0.4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" thickBot="1" x14ac:dyDescent="0.4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" thickBot="1" x14ac:dyDescent="0.4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" thickBot="1" x14ac:dyDescent="0.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" thickBot="1" x14ac:dyDescent="0.4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" thickBot="1" x14ac:dyDescent="0.4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" thickBot="1" x14ac:dyDescent="0.4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" thickBot="1" x14ac:dyDescent="0.4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" thickBot="1" x14ac:dyDescent="0.4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" thickBot="1" x14ac:dyDescent="0.4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" thickBot="1" x14ac:dyDescent="0.4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" thickBot="1" x14ac:dyDescent="0.4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" thickBot="1" x14ac:dyDescent="0.4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" thickBot="1" x14ac:dyDescent="0.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" thickBot="1" x14ac:dyDescent="0.4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" thickBot="1" x14ac:dyDescent="0.4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" thickBot="1" x14ac:dyDescent="0.4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" thickBot="1" x14ac:dyDescent="0.4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" thickBot="1" x14ac:dyDescent="0.4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" thickBot="1" x14ac:dyDescent="0.4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" thickBot="1" x14ac:dyDescent="0.4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" thickBot="1" x14ac:dyDescent="0.4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" thickBot="1" x14ac:dyDescent="0.4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" thickBot="1" x14ac:dyDescent="0.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" thickBot="1" x14ac:dyDescent="0.4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" thickBot="1" x14ac:dyDescent="0.4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" thickBot="1" x14ac:dyDescent="0.4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" thickBot="1" x14ac:dyDescent="0.4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" thickBot="1" x14ac:dyDescent="0.4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" thickBot="1" x14ac:dyDescent="0.4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" thickBot="1" x14ac:dyDescent="0.4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" thickBot="1" x14ac:dyDescent="0.4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" thickBot="1" x14ac:dyDescent="0.4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" thickBot="1" x14ac:dyDescent="0.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" thickBot="1" x14ac:dyDescent="0.4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" thickBot="1" x14ac:dyDescent="0.4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" thickBot="1" x14ac:dyDescent="0.4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" thickBot="1" x14ac:dyDescent="0.4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" thickBot="1" x14ac:dyDescent="0.4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" thickBot="1" x14ac:dyDescent="0.4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" thickBot="1" x14ac:dyDescent="0.4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" thickBot="1" x14ac:dyDescent="0.4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" thickBot="1" x14ac:dyDescent="0.4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" thickBot="1" x14ac:dyDescent="0.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" thickBot="1" x14ac:dyDescent="0.4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" thickBot="1" x14ac:dyDescent="0.4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" thickBot="1" x14ac:dyDescent="0.4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" thickBot="1" x14ac:dyDescent="0.4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" thickBot="1" x14ac:dyDescent="0.4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" thickBot="1" x14ac:dyDescent="0.4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" thickBot="1" x14ac:dyDescent="0.4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" thickBot="1" x14ac:dyDescent="0.4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" thickBot="1" x14ac:dyDescent="0.4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" thickBot="1" x14ac:dyDescent="0.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" thickBot="1" x14ac:dyDescent="0.4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" thickBot="1" x14ac:dyDescent="0.4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" thickBot="1" x14ac:dyDescent="0.4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" thickBot="1" x14ac:dyDescent="0.4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" thickBot="1" x14ac:dyDescent="0.4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" thickBot="1" x14ac:dyDescent="0.4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" thickBot="1" x14ac:dyDescent="0.4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" thickBot="1" x14ac:dyDescent="0.4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" thickBot="1" x14ac:dyDescent="0.4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" thickBot="1" x14ac:dyDescent="0.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" thickBot="1" x14ac:dyDescent="0.4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" thickBot="1" x14ac:dyDescent="0.4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" thickBot="1" x14ac:dyDescent="0.4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" thickBot="1" x14ac:dyDescent="0.4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" thickBot="1" x14ac:dyDescent="0.4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" thickBot="1" x14ac:dyDescent="0.4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" thickBot="1" x14ac:dyDescent="0.4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" thickBot="1" x14ac:dyDescent="0.4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" thickBot="1" x14ac:dyDescent="0.4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" thickBot="1" x14ac:dyDescent="0.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" thickBot="1" x14ac:dyDescent="0.4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" thickBot="1" x14ac:dyDescent="0.4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" thickBot="1" x14ac:dyDescent="0.4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" thickBot="1" x14ac:dyDescent="0.4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" thickBot="1" x14ac:dyDescent="0.4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" thickBot="1" x14ac:dyDescent="0.4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" thickBot="1" x14ac:dyDescent="0.4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" thickBot="1" x14ac:dyDescent="0.4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" thickBot="1" x14ac:dyDescent="0.4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" thickBot="1" x14ac:dyDescent="0.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" thickBot="1" x14ac:dyDescent="0.4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" thickBot="1" x14ac:dyDescent="0.4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" thickBot="1" x14ac:dyDescent="0.4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" thickBot="1" x14ac:dyDescent="0.4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" thickBot="1" x14ac:dyDescent="0.4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" thickBot="1" x14ac:dyDescent="0.4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" thickBot="1" x14ac:dyDescent="0.4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" thickBot="1" x14ac:dyDescent="0.4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" thickBot="1" x14ac:dyDescent="0.4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" thickBot="1" x14ac:dyDescent="0.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" thickBot="1" x14ac:dyDescent="0.4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" thickBot="1" x14ac:dyDescent="0.4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" thickBot="1" x14ac:dyDescent="0.4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" thickBot="1" x14ac:dyDescent="0.4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" thickBot="1" x14ac:dyDescent="0.4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" thickBot="1" x14ac:dyDescent="0.4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" thickBot="1" x14ac:dyDescent="0.4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" thickBot="1" x14ac:dyDescent="0.4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" thickBot="1" x14ac:dyDescent="0.4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" thickBot="1" x14ac:dyDescent="0.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" thickBot="1" x14ac:dyDescent="0.4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" thickBot="1" x14ac:dyDescent="0.4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" thickBot="1" x14ac:dyDescent="0.4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" thickBot="1" x14ac:dyDescent="0.4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" thickBot="1" x14ac:dyDescent="0.4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" thickBot="1" x14ac:dyDescent="0.4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" thickBot="1" x14ac:dyDescent="0.4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" thickBot="1" x14ac:dyDescent="0.4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" thickBot="1" x14ac:dyDescent="0.4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" thickBot="1" x14ac:dyDescent="0.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" thickBot="1" x14ac:dyDescent="0.4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" thickBot="1" x14ac:dyDescent="0.4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" thickBot="1" x14ac:dyDescent="0.4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" thickBot="1" x14ac:dyDescent="0.4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" thickBot="1" x14ac:dyDescent="0.4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" thickBot="1" x14ac:dyDescent="0.4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" thickBot="1" x14ac:dyDescent="0.4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" thickBot="1" x14ac:dyDescent="0.4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" thickBot="1" x14ac:dyDescent="0.4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" thickBot="1" x14ac:dyDescent="0.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" thickBot="1" x14ac:dyDescent="0.4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" thickBot="1" x14ac:dyDescent="0.4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" thickBot="1" x14ac:dyDescent="0.4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" thickBot="1" x14ac:dyDescent="0.4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" thickBot="1" x14ac:dyDescent="0.4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" thickBot="1" x14ac:dyDescent="0.4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" thickBot="1" x14ac:dyDescent="0.4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" thickBot="1" x14ac:dyDescent="0.4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" thickBot="1" x14ac:dyDescent="0.4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" thickBot="1" x14ac:dyDescent="0.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" thickBot="1" x14ac:dyDescent="0.4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" thickBot="1" x14ac:dyDescent="0.4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" thickBot="1" x14ac:dyDescent="0.4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" thickBot="1" x14ac:dyDescent="0.4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" thickBot="1" x14ac:dyDescent="0.4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" thickBot="1" x14ac:dyDescent="0.4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" thickBot="1" x14ac:dyDescent="0.4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" thickBot="1" x14ac:dyDescent="0.4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" thickBot="1" x14ac:dyDescent="0.4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" thickBot="1" x14ac:dyDescent="0.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" thickBot="1" x14ac:dyDescent="0.4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" thickBot="1" x14ac:dyDescent="0.4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" thickBot="1" x14ac:dyDescent="0.4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" thickBot="1" x14ac:dyDescent="0.4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" thickBot="1" x14ac:dyDescent="0.4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" thickBot="1" x14ac:dyDescent="0.4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" thickBot="1" x14ac:dyDescent="0.4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" thickBot="1" x14ac:dyDescent="0.4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" thickBot="1" x14ac:dyDescent="0.4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" thickBot="1" x14ac:dyDescent="0.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" thickBot="1" x14ac:dyDescent="0.4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" thickBot="1" x14ac:dyDescent="0.4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" thickBot="1" x14ac:dyDescent="0.4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" thickBot="1" x14ac:dyDescent="0.4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" thickBot="1" x14ac:dyDescent="0.4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" thickBot="1" x14ac:dyDescent="0.4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" thickBot="1" x14ac:dyDescent="0.4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" thickBot="1" x14ac:dyDescent="0.4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" thickBot="1" x14ac:dyDescent="0.4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" thickBot="1" x14ac:dyDescent="0.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" thickBot="1" x14ac:dyDescent="0.4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" thickBot="1" x14ac:dyDescent="0.4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" thickBot="1" x14ac:dyDescent="0.4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" thickBot="1" x14ac:dyDescent="0.4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" thickBot="1" x14ac:dyDescent="0.4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" thickBot="1" x14ac:dyDescent="0.4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" thickBot="1" x14ac:dyDescent="0.4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" thickBot="1" x14ac:dyDescent="0.4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" thickBot="1" x14ac:dyDescent="0.4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" thickBot="1" x14ac:dyDescent="0.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" thickBot="1" x14ac:dyDescent="0.4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" thickBot="1" x14ac:dyDescent="0.4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" thickBot="1" x14ac:dyDescent="0.4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" thickBot="1" x14ac:dyDescent="0.4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" thickBot="1" x14ac:dyDescent="0.4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" thickBot="1" x14ac:dyDescent="0.4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" thickBot="1" x14ac:dyDescent="0.4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" thickBot="1" x14ac:dyDescent="0.4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" thickBot="1" x14ac:dyDescent="0.4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" thickBot="1" x14ac:dyDescent="0.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" thickBot="1" x14ac:dyDescent="0.4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" thickBot="1" x14ac:dyDescent="0.4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" thickBot="1" x14ac:dyDescent="0.4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" thickBot="1" x14ac:dyDescent="0.4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" thickBot="1" x14ac:dyDescent="0.4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" thickBot="1" x14ac:dyDescent="0.4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" thickBot="1" x14ac:dyDescent="0.4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" thickBot="1" x14ac:dyDescent="0.4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" thickBot="1" x14ac:dyDescent="0.4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" thickBot="1" x14ac:dyDescent="0.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" thickBot="1" x14ac:dyDescent="0.4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" thickBot="1" x14ac:dyDescent="0.4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" thickBot="1" x14ac:dyDescent="0.4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" thickBot="1" x14ac:dyDescent="0.4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" thickBot="1" x14ac:dyDescent="0.4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" thickBot="1" x14ac:dyDescent="0.4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" thickBot="1" x14ac:dyDescent="0.4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" thickBot="1" x14ac:dyDescent="0.4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" thickBot="1" x14ac:dyDescent="0.4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" thickBot="1" x14ac:dyDescent="0.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" thickBot="1" x14ac:dyDescent="0.4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" thickBot="1" x14ac:dyDescent="0.4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" thickBot="1" x14ac:dyDescent="0.4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" thickBot="1" x14ac:dyDescent="0.4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" thickBot="1" x14ac:dyDescent="0.4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" thickBot="1" x14ac:dyDescent="0.4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" thickBot="1" x14ac:dyDescent="0.4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" thickBot="1" x14ac:dyDescent="0.4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" thickBot="1" x14ac:dyDescent="0.4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" thickBot="1" x14ac:dyDescent="0.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" thickBot="1" x14ac:dyDescent="0.4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" thickBot="1" x14ac:dyDescent="0.4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" thickBot="1" x14ac:dyDescent="0.4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" thickBot="1" x14ac:dyDescent="0.4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" thickBot="1" x14ac:dyDescent="0.4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" thickBot="1" x14ac:dyDescent="0.4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" thickBot="1" x14ac:dyDescent="0.4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" thickBot="1" x14ac:dyDescent="0.4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" thickBot="1" x14ac:dyDescent="0.4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" thickBot="1" x14ac:dyDescent="0.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" thickBot="1" x14ac:dyDescent="0.4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" thickBot="1" x14ac:dyDescent="0.4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" thickBot="1" x14ac:dyDescent="0.4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" thickBot="1" x14ac:dyDescent="0.4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" thickBot="1" x14ac:dyDescent="0.4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" thickBot="1" x14ac:dyDescent="0.4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" thickBot="1" x14ac:dyDescent="0.4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" thickBot="1" x14ac:dyDescent="0.4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" thickBot="1" x14ac:dyDescent="0.4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" thickBot="1" x14ac:dyDescent="0.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" thickBot="1" x14ac:dyDescent="0.4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" thickBot="1" x14ac:dyDescent="0.4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" thickBot="1" x14ac:dyDescent="0.4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" thickBot="1" x14ac:dyDescent="0.4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" thickBot="1" x14ac:dyDescent="0.4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" thickBot="1" x14ac:dyDescent="0.4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" thickBot="1" x14ac:dyDescent="0.4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" thickBot="1" x14ac:dyDescent="0.4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" thickBot="1" x14ac:dyDescent="0.4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" thickBot="1" x14ac:dyDescent="0.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" thickBot="1" x14ac:dyDescent="0.4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" thickBot="1" x14ac:dyDescent="0.4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" thickBot="1" x14ac:dyDescent="0.4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" thickBot="1" x14ac:dyDescent="0.4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" thickBot="1" x14ac:dyDescent="0.4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" thickBot="1" x14ac:dyDescent="0.4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" thickBot="1" x14ac:dyDescent="0.4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" thickBot="1" x14ac:dyDescent="0.4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" thickBot="1" x14ac:dyDescent="0.4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" thickBot="1" x14ac:dyDescent="0.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" thickBot="1" x14ac:dyDescent="0.4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" thickBot="1" x14ac:dyDescent="0.4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" thickBot="1" x14ac:dyDescent="0.4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" thickBot="1" x14ac:dyDescent="0.4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" thickBot="1" x14ac:dyDescent="0.4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" thickBot="1" x14ac:dyDescent="0.4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" thickBot="1" x14ac:dyDescent="0.4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" thickBot="1" x14ac:dyDescent="0.4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" thickBot="1" x14ac:dyDescent="0.4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" thickBot="1" x14ac:dyDescent="0.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" thickBot="1" x14ac:dyDescent="0.4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" thickBot="1" x14ac:dyDescent="0.4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" thickBot="1" x14ac:dyDescent="0.4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" thickBot="1" x14ac:dyDescent="0.4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" thickBot="1" x14ac:dyDescent="0.4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" thickBot="1" x14ac:dyDescent="0.4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" thickBot="1" x14ac:dyDescent="0.4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" thickBot="1" x14ac:dyDescent="0.4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" thickBot="1" x14ac:dyDescent="0.4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" thickBot="1" x14ac:dyDescent="0.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" thickBot="1" x14ac:dyDescent="0.4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" thickBot="1" x14ac:dyDescent="0.4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" thickBot="1" x14ac:dyDescent="0.4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" thickBot="1" x14ac:dyDescent="0.4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" thickBot="1" x14ac:dyDescent="0.4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" thickBot="1" x14ac:dyDescent="0.4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" thickBot="1" x14ac:dyDescent="0.4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" thickBot="1" x14ac:dyDescent="0.4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" thickBot="1" x14ac:dyDescent="0.4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" thickBot="1" x14ac:dyDescent="0.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" thickBot="1" x14ac:dyDescent="0.4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" thickBot="1" x14ac:dyDescent="0.4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" thickBot="1" x14ac:dyDescent="0.4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" thickBot="1" x14ac:dyDescent="0.4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" thickBot="1" x14ac:dyDescent="0.4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" thickBot="1" x14ac:dyDescent="0.4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" thickBot="1" x14ac:dyDescent="0.4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" thickBot="1" x14ac:dyDescent="0.4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" thickBot="1" x14ac:dyDescent="0.4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" thickBot="1" x14ac:dyDescent="0.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" thickBot="1" x14ac:dyDescent="0.4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" thickBot="1" x14ac:dyDescent="0.4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" thickBot="1" x14ac:dyDescent="0.4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" thickBot="1" x14ac:dyDescent="0.4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" thickBot="1" x14ac:dyDescent="0.4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" thickBot="1" x14ac:dyDescent="0.4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" thickBot="1" x14ac:dyDescent="0.4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" thickBot="1" x14ac:dyDescent="0.4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" thickBot="1" x14ac:dyDescent="0.4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" thickBot="1" x14ac:dyDescent="0.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" thickBot="1" x14ac:dyDescent="0.4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" thickBot="1" x14ac:dyDescent="0.4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" thickBot="1" x14ac:dyDescent="0.4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" thickBot="1" x14ac:dyDescent="0.4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" thickBot="1" x14ac:dyDescent="0.4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" thickBot="1" x14ac:dyDescent="0.4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" thickBot="1" x14ac:dyDescent="0.4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" thickBot="1" x14ac:dyDescent="0.4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" thickBot="1" x14ac:dyDescent="0.4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" thickBot="1" x14ac:dyDescent="0.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" thickBot="1" x14ac:dyDescent="0.4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" thickBot="1" x14ac:dyDescent="0.4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" thickBot="1" x14ac:dyDescent="0.4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" thickBot="1" x14ac:dyDescent="0.4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" thickBot="1" x14ac:dyDescent="0.4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" thickBot="1" x14ac:dyDescent="0.4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" thickBot="1" x14ac:dyDescent="0.4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" thickBot="1" x14ac:dyDescent="0.4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" thickBot="1" x14ac:dyDescent="0.4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" thickBot="1" x14ac:dyDescent="0.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" thickBot="1" x14ac:dyDescent="0.4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" thickBot="1" x14ac:dyDescent="0.4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" thickBot="1" x14ac:dyDescent="0.4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" thickBot="1" x14ac:dyDescent="0.4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" thickBot="1" x14ac:dyDescent="0.4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" thickBot="1" x14ac:dyDescent="0.4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" thickBot="1" x14ac:dyDescent="0.4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" thickBot="1" x14ac:dyDescent="0.4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" thickBot="1" x14ac:dyDescent="0.4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" thickBot="1" x14ac:dyDescent="0.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" thickBot="1" x14ac:dyDescent="0.4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" thickBot="1" x14ac:dyDescent="0.4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" thickBot="1" x14ac:dyDescent="0.4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" thickBot="1" x14ac:dyDescent="0.4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" thickBot="1" x14ac:dyDescent="0.4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" thickBot="1" x14ac:dyDescent="0.4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" thickBot="1" x14ac:dyDescent="0.4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" thickBot="1" x14ac:dyDescent="0.4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" thickBot="1" x14ac:dyDescent="0.4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" thickBot="1" x14ac:dyDescent="0.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" thickBot="1" x14ac:dyDescent="0.4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" thickBot="1" x14ac:dyDescent="0.4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" thickBot="1" x14ac:dyDescent="0.4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" thickBot="1" x14ac:dyDescent="0.4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" thickBot="1" x14ac:dyDescent="0.4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" thickBot="1" x14ac:dyDescent="0.4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" thickBot="1" x14ac:dyDescent="0.4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" thickBot="1" x14ac:dyDescent="0.4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" thickBot="1" x14ac:dyDescent="0.4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" thickBot="1" x14ac:dyDescent="0.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" thickBot="1" x14ac:dyDescent="0.4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" thickBot="1" x14ac:dyDescent="0.4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" thickBot="1" x14ac:dyDescent="0.4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" thickBot="1" x14ac:dyDescent="0.4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" thickBot="1" x14ac:dyDescent="0.4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" thickBot="1" x14ac:dyDescent="0.4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" thickBot="1" x14ac:dyDescent="0.4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" thickBot="1" x14ac:dyDescent="0.4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" thickBot="1" x14ac:dyDescent="0.4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" thickBot="1" x14ac:dyDescent="0.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" thickBot="1" x14ac:dyDescent="0.4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" thickBot="1" x14ac:dyDescent="0.4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" thickBot="1" x14ac:dyDescent="0.4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" thickBot="1" x14ac:dyDescent="0.4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" thickBot="1" x14ac:dyDescent="0.4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" thickBot="1" x14ac:dyDescent="0.4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" thickBot="1" x14ac:dyDescent="0.4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" thickBot="1" x14ac:dyDescent="0.4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" thickBot="1" x14ac:dyDescent="0.4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" thickBot="1" x14ac:dyDescent="0.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" thickBot="1" x14ac:dyDescent="0.4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" thickBot="1" x14ac:dyDescent="0.4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" thickBot="1" x14ac:dyDescent="0.4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" thickBot="1" x14ac:dyDescent="0.4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" thickBot="1" x14ac:dyDescent="0.4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" thickBot="1" x14ac:dyDescent="0.4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" thickBot="1" x14ac:dyDescent="0.4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" thickBot="1" x14ac:dyDescent="0.4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" thickBot="1" x14ac:dyDescent="0.4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" thickBot="1" x14ac:dyDescent="0.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" thickBot="1" x14ac:dyDescent="0.4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" thickBot="1" x14ac:dyDescent="0.4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" thickBot="1" x14ac:dyDescent="0.4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" thickBot="1" x14ac:dyDescent="0.4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" thickBot="1" x14ac:dyDescent="0.4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" thickBot="1" x14ac:dyDescent="0.4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" thickBot="1" x14ac:dyDescent="0.4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" thickBot="1" x14ac:dyDescent="0.4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" thickBot="1" x14ac:dyDescent="0.4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" thickBot="1" x14ac:dyDescent="0.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" thickBot="1" x14ac:dyDescent="0.4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" thickBot="1" x14ac:dyDescent="0.4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" thickBot="1" x14ac:dyDescent="0.4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" thickBot="1" x14ac:dyDescent="0.4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" thickBot="1" x14ac:dyDescent="0.4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" thickBot="1" x14ac:dyDescent="0.4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" thickBot="1" x14ac:dyDescent="0.4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" thickBot="1" x14ac:dyDescent="0.4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" thickBot="1" x14ac:dyDescent="0.4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" thickBot="1" x14ac:dyDescent="0.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" thickBot="1" x14ac:dyDescent="0.4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" thickBot="1" x14ac:dyDescent="0.4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" thickBot="1" x14ac:dyDescent="0.4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" thickBot="1" x14ac:dyDescent="0.4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" thickBot="1" x14ac:dyDescent="0.4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" thickBot="1" x14ac:dyDescent="0.4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" thickBot="1" x14ac:dyDescent="0.4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" thickBot="1" x14ac:dyDescent="0.4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" thickBot="1" x14ac:dyDescent="0.4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" thickBot="1" x14ac:dyDescent="0.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" thickBot="1" x14ac:dyDescent="0.4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" thickBot="1" x14ac:dyDescent="0.4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" thickBot="1" x14ac:dyDescent="0.4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" thickBot="1" x14ac:dyDescent="0.4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" thickBot="1" x14ac:dyDescent="0.4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" thickBot="1" x14ac:dyDescent="0.4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" thickBot="1" x14ac:dyDescent="0.4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" thickBot="1" x14ac:dyDescent="0.4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" thickBot="1" x14ac:dyDescent="0.4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" thickBot="1" x14ac:dyDescent="0.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" thickBot="1" x14ac:dyDescent="0.4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" thickBot="1" x14ac:dyDescent="0.4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" thickBot="1" x14ac:dyDescent="0.4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" thickBot="1" x14ac:dyDescent="0.4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" thickBot="1" x14ac:dyDescent="0.4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" thickBot="1" x14ac:dyDescent="0.4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" thickBot="1" x14ac:dyDescent="0.4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" thickBot="1" x14ac:dyDescent="0.4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" thickBot="1" x14ac:dyDescent="0.4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" thickBot="1" x14ac:dyDescent="0.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" thickBot="1" x14ac:dyDescent="0.4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" thickBot="1" x14ac:dyDescent="0.4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" thickBot="1" x14ac:dyDescent="0.4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" thickBot="1" x14ac:dyDescent="0.4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" thickBot="1" x14ac:dyDescent="0.4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" thickBot="1" x14ac:dyDescent="0.4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" thickBot="1" x14ac:dyDescent="0.4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" thickBot="1" x14ac:dyDescent="0.4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" thickBot="1" x14ac:dyDescent="0.4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" thickBot="1" x14ac:dyDescent="0.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" thickBot="1" x14ac:dyDescent="0.4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" thickBot="1" x14ac:dyDescent="0.4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" thickBot="1" x14ac:dyDescent="0.4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" thickBot="1" x14ac:dyDescent="0.4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" thickBot="1" x14ac:dyDescent="0.4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" thickBot="1" x14ac:dyDescent="0.4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" thickBot="1" x14ac:dyDescent="0.4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" thickBot="1" x14ac:dyDescent="0.4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" thickBot="1" x14ac:dyDescent="0.4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" thickBot="1" x14ac:dyDescent="0.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" thickBot="1" x14ac:dyDescent="0.4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" thickBot="1" x14ac:dyDescent="0.4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" thickBot="1" x14ac:dyDescent="0.4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" thickBot="1" x14ac:dyDescent="0.4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" thickBot="1" x14ac:dyDescent="0.4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" thickBot="1" x14ac:dyDescent="0.4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" thickBot="1" x14ac:dyDescent="0.4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" thickBot="1" x14ac:dyDescent="0.4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" thickBot="1" x14ac:dyDescent="0.4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" thickBot="1" x14ac:dyDescent="0.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" thickBot="1" x14ac:dyDescent="0.4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" thickBot="1" x14ac:dyDescent="0.4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" thickBot="1" x14ac:dyDescent="0.4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" thickBot="1" x14ac:dyDescent="0.4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" thickBot="1" x14ac:dyDescent="0.4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" thickBot="1" x14ac:dyDescent="0.4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" thickBot="1" x14ac:dyDescent="0.4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" thickBot="1" x14ac:dyDescent="0.4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" thickBot="1" x14ac:dyDescent="0.4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" thickBot="1" x14ac:dyDescent="0.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" thickBot="1" x14ac:dyDescent="0.4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" thickBot="1" x14ac:dyDescent="0.4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" thickBot="1" x14ac:dyDescent="0.4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" thickBot="1" x14ac:dyDescent="0.4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" thickBot="1" x14ac:dyDescent="0.4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" thickBot="1" x14ac:dyDescent="0.4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" thickBot="1" x14ac:dyDescent="0.4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" thickBot="1" x14ac:dyDescent="0.4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" thickBot="1" x14ac:dyDescent="0.4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" thickBot="1" x14ac:dyDescent="0.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" thickBot="1" x14ac:dyDescent="0.4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" thickBot="1" x14ac:dyDescent="0.4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" thickBot="1" x14ac:dyDescent="0.4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" thickBot="1" x14ac:dyDescent="0.4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" thickBot="1" x14ac:dyDescent="0.4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" thickBot="1" x14ac:dyDescent="0.4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" thickBot="1" x14ac:dyDescent="0.4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" thickBot="1" x14ac:dyDescent="0.4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" thickBot="1" x14ac:dyDescent="0.4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" thickBot="1" x14ac:dyDescent="0.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" thickBot="1" x14ac:dyDescent="0.4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" thickBot="1" x14ac:dyDescent="0.4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" thickBot="1" x14ac:dyDescent="0.4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" thickBot="1" x14ac:dyDescent="0.4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" thickBot="1" x14ac:dyDescent="0.4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" thickBot="1" x14ac:dyDescent="0.4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" thickBot="1" x14ac:dyDescent="0.4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" thickBot="1" x14ac:dyDescent="0.4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" thickBot="1" x14ac:dyDescent="0.4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" thickBot="1" x14ac:dyDescent="0.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" thickBot="1" x14ac:dyDescent="0.4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" thickBot="1" x14ac:dyDescent="0.4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" thickBot="1" x14ac:dyDescent="0.4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" thickBot="1" x14ac:dyDescent="0.4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" thickBot="1" x14ac:dyDescent="0.4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" thickBot="1" x14ac:dyDescent="0.4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" thickBot="1" x14ac:dyDescent="0.4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" thickBot="1" x14ac:dyDescent="0.4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" thickBot="1" x14ac:dyDescent="0.4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" thickBot="1" x14ac:dyDescent="0.4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" thickBot="1" x14ac:dyDescent="0.4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" thickBot="1" x14ac:dyDescent="0.4">
      <c r="A1006" s="1"/>
      <c r="B1006" s="1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5" thickBot="1" x14ac:dyDescent="0.4">
      <c r="A1007" s="1"/>
      <c r="B1007" s="1"/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5" thickBot="1" x14ac:dyDescent="0.4">
      <c r="A1008" s="1"/>
      <c r="B1008" s="1"/>
      <c r="C1008" s="1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5" thickBot="1" x14ac:dyDescent="0.4">
      <c r="A1009" s="1"/>
      <c r="B1009" s="1"/>
      <c r="C1009" s="1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5" thickBot="1" x14ac:dyDescent="0.4">
      <c r="A1010" s="1"/>
      <c r="B1010" s="1"/>
      <c r="C1010" s="1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5" thickBot="1" x14ac:dyDescent="0.4">
      <c r="A1011" s="1"/>
      <c r="B1011" s="1"/>
      <c r="C1011" s="1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5" thickBot="1" x14ac:dyDescent="0.4">
      <c r="A1012" s="1"/>
      <c r="B1012" s="1"/>
      <c r="C1012" s="1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5" thickBot="1" x14ac:dyDescent="0.4">
      <c r="A1013" s="1"/>
      <c r="B1013" s="1"/>
      <c r="C1013" s="1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5" thickBot="1" x14ac:dyDescent="0.4">
      <c r="A1014" s="1"/>
      <c r="B1014" s="1"/>
      <c r="C1014" s="1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5" thickBot="1" x14ac:dyDescent="0.4">
      <c r="A1015" s="1"/>
      <c r="B1015" s="1"/>
      <c r="C1015" s="1"/>
      <c r="D1015" s="2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5" thickBot="1" x14ac:dyDescent="0.4">
      <c r="A1016" s="1"/>
      <c r="B1016" s="1"/>
      <c r="C1016" s="1"/>
      <c r="D1016" s="2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5" thickBot="1" x14ac:dyDescent="0.4">
      <c r="A1017" s="1"/>
      <c r="B1017" s="1"/>
      <c r="C1017" s="1"/>
      <c r="D1017" s="2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5" thickBot="1" x14ac:dyDescent="0.4">
      <c r="A1018" s="1"/>
      <c r="B1018" s="1"/>
      <c r="C1018" s="1"/>
      <c r="D1018" s="2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5" thickBot="1" x14ac:dyDescent="0.4">
      <c r="A1019" s="1"/>
      <c r="B1019" s="1"/>
      <c r="C1019" s="1"/>
      <c r="D1019" s="2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5" thickBot="1" x14ac:dyDescent="0.4">
      <c r="A1020" s="1"/>
      <c r="B1020" s="1"/>
      <c r="C1020" s="1"/>
      <c r="D1020" s="2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5" thickBot="1" x14ac:dyDescent="0.4">
      <c r="A1021" s="1"/>
      <c r="B1021" s="1"/>
      <c r="C1021" s="1"/>
      <c r="D1021" s="2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5" thickBot="1" x14ac:dyDescent="0.4">
      <c r="A1022" s="1"/>
      <c r="B1022" s="1"/>
      <c r="C1022" s="1"/>
      <c r="D1022" s="2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5" thickBot="1" x14ac:dyDescent="0.4">
      <c r="A1023" s="1"/>
      <c r="B1023" s="1"/>
      <c r="C1023" s="1"/>
      <c r="D1023" s="2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5" thickBot="1" x14ac:dyDescent="0.4">
      <c r="A1024" s="1"/>
      <c r="B1024" s="1"/>
      <c r="C1024" s="1"/>
      <c r="D1024" s="2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5" thickBot="1" x14ac:dyDescent="0.4">
      <c r="A1025" s="1"/>
      <c r="B1025" s="1"/>
      <c r="C1025" s="1"/>
      <c r="D1025" s="2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5" thickBot="1" x14ac:dyDescent="0.4">
      <c r="A1026" s="1"/>
      <c r="B1026" s="1"/>
      <c r="C1026" s="1"/>
      <c r="D1026" s="2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5" thickBot="1" x14ac:dyDescent="0.4">
      <c r="A1027" s="1"/>
      <c r="B1027" s="1"/>
      <c r="C1027" s="1"/>
      <c r="D1027" s="2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5" thickBot="1" x14ac:dyDescent="0.4">
      <c r="A1028" s="1"/>
      <c r="B1028" s="1"/>
      <c r="C1028" s="1"/>
      <c r="D1028" s="2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5" thickBot="1" x14ac:dyDescent="0.4">
      <c r="A1029" s="1"/>
      <c r="B1029" s="1"/>
      <c r="C1029" s="1"/>
      <c r="D1029" s="2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5" thickBot="1" x14ac:dyDescent="0.4">
      <c r="A1030" s="1"/>
      <c r="B1030" s="1"/>
      <c r="C1030" s="1"/>
      <c r="D1030" s="2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5" thickBot="1" x14ac:dyDescent="0.4">
      <c r="A1031" s="1"/>
      <c r="B1031" s="1"/>
      <c r="C1031" s="1"/>
      <c r="D1031" s="2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5" thickBot="1" x14ac:dyDescent="0.4">
      <c r="A1032" s="1"/>
      <c r="B1032" s="1"/>
      <c r="C1032" s="1"/>
      <c r="D1032" s="2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5" thickBot="1" x14ac:dyDescent="0.4">
      <c r="A1033" s="1"/>
      <c r="B1033" s="1"/>
      <c r="C1033" s="1"/>
      <c r="D1033" s="2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15" thickBot="1" x14ac:dyDescent="0.4">
      <c r="A1034" s="1"/>
      <c r="B1034" s="1"/>
      <c r="C1034" s="1"/>
      <c r="D1034" s="2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15" thickBot="1" x14ac:dyDescent="0.4">
      <c r="A1035" s="1"/>
      <c r="B1035" s="1"/>
      <c r="C1035" s="1"/>
      <c r="D1035" s="2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ht="15" thickBot="1" x14ac:dyDescent="0.4">
      <c r="A1036" s="1"/>
      <c r="B1036" s="1"/>
      <c r="C1036" s="1"/>
      <c r="D1036" s="2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 ht="15" thickBot="1" x14ac:dyDescent="0.4">
      <c r="A1037" s="1"/>
      <c r="B1037" s="1"/>
      <c r="C1037" s="1"/>
      <c r="D1037" s="2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</sheetData>
  <mergeCells count="3">
    <mergeCell ref="B8:I9"/>
    <mergeCell ref="F10:I10"/>
    <mergeCell ref="F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 Operation</dc:creator>
  <cp:lastModifiedBy>EA Operation</cp:lastModifiedBy>
  <dcterms:created xsi:type="dcterms:W3CDTF">2026-04-08T11:22:37Z</dcterms:created>
  <dcterms:modified xsi:type="dcterms:W3CDTF">2026-04-08T15:49:32Z</dcterms:modified>
</cp:coreProperties>
</file>