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4"/>
  <workbookPr defaultThemeVersion="124226"/>
  <mc:AlternateContent xmlns:mc="http://schemas.openxmlformats.org/markup-compatibility/2006">
    <mc:Choice Requires="x15">
      <x15ac:absPath xmlns:x15ac="http://schemas.microsoft.com/office/spreadsheetml/2010/11/ac" url="D:\Atif Data\Solar System\BOQ\2026 3rd Budget\A-39 Burewala Multan 0833 EA\"/>
    </mc:Choice>
  </mc:AlternateContent>
  <xr:revisionPtr revIDLastSave="0" documentId="13_ncr:1_{EA0A57B6-F2C7-432E-A14D-B78C961CFDA9}" xr6:coauthVersionLast="36" xr6:coauthVersionMax="36" xr10:uidLastSave="{00000000-0000-0000-0000-000000000000}"/>
  <bookViews>
    <workbookView xWindow="120" yWindow="45" windowWidth="15135" windowHeight="7500" xr2:uid="{00000000-000D-0000-FFFF-FFFF00000000}"/>
  </bookViews>
  <sheets>
    <sheet name="Sheet1" sheetId="31" r:id="rId1"/>
    <sheet name="Annex A" sheetId="32" r:id="rId2"/>
  </sheets>
  <calcPr calcId="191029"/>
</workbook>
</file>

<file path=xl/calcChain.xml><?xml version="1.0" encoding="utf-8"?>
<calcChain xmlns="http://schemas.openxmlformats.org/spreadsheetml/2006/main">
  <c r="H9" i="31" l="1"/>
  <c r="K38" i="31" l="1"/>
  <c r="H4" i="31" l="1"/>
  <c r="H15" i="31"/>
  <c r="H20" i="31"/>
  <c r="H26" i="31"/>
  <c r="H31" i="31"/>
  <c r="H34" i="31"/>
  <c r="H38" i="31"/>
  <c r="H43" i="31"/>
  <c r="H44" i="31" l="1"/>
  <c r="J4" i="31"/>
  <c r="K4" i="31" s="1"/>
  <c r="J43" i="31"/>
  <c r="K43" i="31" s="1"/>
  <c r="J38" i="31"/>
  <c r="J34" i="31"/>
  <c r="K34" i="31" s="1"/>
  <c r="J31" i="31"/>
  <c r="K31" i="31" s="1"/>
  <c r="J26" i="31"/>
  <c r="K26" i="31" s="1"/>
  <c r="J20" i="31"/>
  <c r="K20" i="31" s="1"/>
  <c r="J15" i="31"/>
  <c r="K15" i="31" s="1"/>
  <c r="J9" i="31"/>
  <c r="K9" i="31" s="1"/>
  <c r="K44" i="31" l="1"/>
</calcChain>
</file>

<file path=xl/sharedStrings.xml><?xml version="1.0" encoding="utf-8"?>
<sst xmlns="http://schemas.openxmlformats.org/spreadsheetml/2006/main" count="153" uniqueCount="120">
  <si>
    <t>Description</t>
  </si>
  <si>
    <t>S.No</t>
  </si>
  <si>
    <t>Qty</t>
  </si>
  <si>
    <t>Units</t>
  </si>
  <si>
    <t>pcs</t>
  </si>
  <si>
    <t>Job</t>
  </si>
  <si>
    <t>(2) DB will include I/P and O/P  Breakers and Protections as required.</t>
  </si>
  <si>
    <t>Battery</t>
  </si>
  <si>
    <t>Per unit cost (Rs)</t>
  </si>
  <si>
    <t>(4) Civil Works will be carried out either by anchoring with the ground or using pre-fab blocks and cost are included in above quoted amount.</t>
  </si>
  <si>
    <t>(5) No additional cost will be charged from Askari Bank Limited.</t>
  </si>
  <si>
    <t>Total Amount (Rs) with out GST</t>
  </si>
  <si>
    <t>(3) Cabling has been added in the solution as per the site survey or standard quantity quoted in the solution and no further cost shall be charged to AKBL.</t>
  </si>
  <si>
    <t>Item</t>
  </si>
  <si>
    <t>Brand</t>
  </si>
  <si>
    <t>Quality</t>
  </si>
  <si>
    <t>Warranty</t>
  </si>
  <si>
    <t>Type</t>
  </si>
  <si>
    <t>Efficiency</t>
  </si>
  <si>
    <t>93-98%</t>
  </si>
  <si>
    <t>05 Years.</t>
  </si>
  <si>
    <t>Inverter Hybrid</t>
  </si>
  <si>
    <t>Rating</t>
  </si>
  <si>
    <t>Distribution Board (DB's)</t>
  </si>
  <si>
    <t>Ac / DC Breakers original and protectable of the equipment's operations</t>
  </si>
  <si>
    <t>DB Material</t>
  </si>
  <si>
    <t>Other Accessory</t>
  </si>
  <si>
    <t>Cables</t>
  </si>
  <si>
    <t>Size of Cables</t>
  </si>
  <si>
    <t>Protection with Surge Protect Device (SPD).</t>
  </si>
  <si>
    <t>Earthing</t>
  </si>
  <si>
    <t>Earth Value</t>
  </si>
  <si>
    <t>Less than 5 Ohm</t>
  </si>
  <si>
    <t>Lightning Arrestor</t>
  </si>
  <si>
    <t>100% Pure Copper and full gauge</t>
  </si>
  <si>
    <t>Materials</t>
  </si>
  <si>
    <t>Civil Works</t>
  </si>
  <si>
    <t>Included</t>
  </si>
  <si>
    <t>10 Years</t>
  </si>
  <si>
    <t>Structure</t>
  </si>
  <si>
    <t>Project</t>
  </si>
  <si>
    <t xml:space="preserve">Installation &amp; Commissioning </t>
  </si>
  <si>
    <t>Pcs</t>
  </si>
  <si>
    <t>Tire - 1, A Grade - Bifacial</t>
  </si>
  <si>
    <t>(1) Tier-I Panels Bifacial offered rating available will be used in the solution.</t>
  </si>
  <si>
    <t>Solar Panels</t>
  </si>
  <si>
    <t>Capacity</t>
  </si>
  <si>
    <t xml:space="preserve">12 Years Products and Performance Warranty: 25 Years </t>
  </si>
  <si>
    <t>Hybrid, Duel MMPT Tyrackers,IP-65 /IP 66 standard built in Wi Fi for remote Monitoring</t>
  </si>
  <si>
    <t xml:space="preserve">48/51V -100AMP.       </t>
  </si>
  <si>
    <t>AC / DC Breakers including Phase Failure, Phase distribution and tagging on breaker should be placed, Pure copper lugs will be used for connection/ cable installation in breakers  complete in all respects.</t>
  </si>
  <si>
    <r>
      <t>High Conductivity Active Green Earth Station usin</t>
    </r>
    <r>
      <rPr>
        <sz val="11"/>
        <rFont val="Calibri"/>
        <family val="2"/>
        <scheme val="minor"/>
      </rPr>
      <t>g 38 mm dia t</t>
    </r>
    <r>
      <rPr>
        <sz val="11"/>
        <color theme="1"/>
        <rFont val="Calibri"/>
        <family val="2"/>
        <scheme val="minor"/>
      </rPr>
      <t>in plated copper pipe including 6" dia, up to 20 FT Pit with 4'x4'x20 in NSL / Ground. and Earth enhancement Electrolytic compound with "Coal ,Salt &amp; Sand with 16mm copper rope ".OR deep boring with 4 inches bore pipe up to "water level "with G-I pipe 2"inch Earth station shall be provided with inspection chamber and heavy duty round MS cover, painted with anti rust paint. The earth lead shall be terminated at the copper pipe using proper cad weld jointing method and .</t>
    </r>
  </si>
  <si>
    <t>Lithium ion Battery bank, Ensure proper BMS connections)  with frame installation.</t>
  </si>
  <si>
    <t>Schneider/Chint (KA rating shall be according to the site requirement)</t>
  </si>
  <si>
    <t>Schneider/ Chint  for AC and DC breakers only</t>
  </si>
  <si>
    <r>
      <t>Installation &amp; Commissioning of Solution Installation of PV Panels &amp; Systems complete in all respects included labor charges complete in  all respects and single line Diagram (SLD) to be arranged</t>
    </r>
    <r>
      <rPr>
        <b/>
        <u/>
        <sz val="11"/>
        <rFont val="Calibri"/>
        <family val="2"/>
      </rPr>
      <t>.(Plz note the both the Inverters are to be installed in parallel to support each units in case of failure one of them).</t>
    </r>
  </si>
  <si>
    <t>(6) Incase of standard structure installation is required the cost will be finalized as per the market price.</t>
  </si>
  <si>
    <t>(7) Color Coating of all cables shall be installed as per site requirements.</t>
  </si>
  <si>
    <t>(8) 100% payment will be paid on completion of work.</t>
  </si>
  <si>
    <t>GST %</t>
  </si>
  <si>
    <t>GST Amount</t>
  </si>
  <si>
    <t>Total Amount with GST</t>
  </si>
  <si>
    <t>TOTAL AMOUNT OF SYSTEM With GST</t>
  </si>
  <si>
    <t xml:space="preserve">100% Pure Copper with Insulator </t>
  </si>
  <si>
    <t xml:space="preserve">Change Over CAMSCO/ Schneider - 02numbers)+ Accessories , UPVC Ducts, PVC Pipes tapes etc., complete in all respects PVC Pipes / Dura Ducts Adam Jee / Dura ducts only).   </t>
  </si>
  <si>
    <t>6mm/10mm for AC /16mm for earthing (From Earth Main Hole to Lighting Arrester and Panels 16mm Cable shall be installed)  ensure on the load operation according to the site requirements.</t>
  </si>
  <si>
    <t>Annex- A</t>
  </si>
  <si>
    <r>
      <rPr>
        <b/>
        <sz val="15"/>
        <color rgb="FF0070BF"/>
        <rFont val="Calibri"/>
        <family val="1"/>
      </rPr>
      <t>ELEVATED STRUCTURE MATERIAL SPECIFICATIONS</t>
    </r>
  </si>
  <si>
    <r>
      <rPr>
        <b/>
        <sz val="10.5"/>
        <rFont val="Calibri"/>
        <family val="1"/>
      </rPr>
      <t>H-Beam</t>
    </r>
  </si>
  <si>
    <r>
      <rPr>
        <b/>
        <sz val="10.5"/>
        <rFont val="Calibri"/>
        <family val="1"/>
      </rPr>
      <t>C-Channel</t>
    </r>
  </si>
  <si>
    <r>
      <rPr>
        <sz val="10.5"/>
        <rFont val="Calibri"/>
        <family val="1"/>
      </rPr>
      <t>Brand: Mughal</t>
    </r>
  </si>
  <si>
    <r>
      <rPr>
        <sz val="10.5"/>
        <rFont val="Calibri"/>
        <family val="1"/>
      </rPr>
      <t>Brand: Local</t>
    </r>
  </si>
  <si>
    <r>
      <rPr>
        <sz val="10.5"/>
        <rFont val="Calibri"/>
        <family val="1"/>
      </rPr>
      <t>Material: MS</t>
    </r>
  </si>
  <si>
    <t>Material: Galvanize</t>
  </si>
  <si>
    <r>
      <rPr>
        <sz val="10.5"/>
        <rFont val="Calibri"/>
        <family val="1"/>
      </rPr>
      <t>Width: 5"</t>
    </r>
  </si>
  <si>
    <r>
      <rPr>
        <sz val="10.5"/>
        <rFont val="Calibri"/>
        <family val="1"/>
      </rPr>
      <t>Width: 3"</t>
    </r>
  </si>
  <si>
    <r>
      <rPr>
        <sz val="10.5"/>
        <rFont val="Calibri"/>
        <family val="1"/>
      </rPr>
      <t>Depth: 2.5"</t>
    </r>
  </si>
  <si>
    <r>
      <rPr>
        <sz val="10.5"/>
        <rFont val="Calibri"/>
        <family val="1"/>
      </rPr>
      <t>Depth: 1.5"</t>
    </r>
  </si>
  <si>
    <t>Thickness: 10/11 SWG</t>
  </si>
  <si>
    <t>Thickness: 14 SWG</t>
  </si>
  <si>
    <r>
      <rPr>
        <b/>
        <sz val="10.5"/>
        <rFont val="Calibri"/>
        <family val="1"/>
      </rPr>
      <t>Base Plate:</t>
    </r>
  </si>
  <si>
    <t>Cross Engle Iron:</t>
  </si>
  <si>
    <t>Width: 8"</t>
  </si>
  <si>
    <t>Width: 1.5"</t>
  </si>
  <si>
    <t>Length: 8"</t>
  </si>
  <si>
    <t>Depth: 1.5"</t>
  </si>
  <si>
    <t>Thickness: 6mm</t>
  </si>
  <si>
    <t>Gauge: 16 SWG</t>
  </si>
  <si>
    <r>
      <rPr>
        <b/>
        <sz val="15"/>
        <color rgb="FF0070BF"/>
        <rFont val="Calibri"/>
        <family val="1"/>
      </rPr>
      <t>STANDARD STRUCTURE MATERIAL SPECIFICATIONS</t>
    </r>
  </si>
  <si>
    <r>
      <rPr>
        <b/>
        <sz val="10.5"/>
        <rFont val="Calibri"/>
        <family val="1"/>
      </rPr>
      <t>Channel</t>
    </r>
  </si>
  <si>
    <r>
      <rPr>
        <b/>
        <sz val="10.5"/>
        <rFont val="Calibri"/>
        <family val="1"/>
      </rPr>
      <t>L3 SPECS:</t>
    </r>
  </si>
  <si>
    <r>
      <rPr>
        <sz val="10.5"/>
        <rFont val="Calibri"/>
        <family val="1"/>
      </rPr>
      <t>Length: 8'</t>
    </r>
  </si>
  <si>
    <r>
      <rPr>
        <sz val="10.5"/>
        <rFont val="Calibri"/>
        <family val="1"/>
      </rPr>
      <t>Material: GI</t>
    </r>
  </si>
  <si>
    <r>
      <rPr>
        <sz val="10.5"/>
        <rFont val="Calibri"/>
        <family val="1"/>
      </rPr>
      <t>Base Holders: 4</t>
    </r>
  </si>
  <si>
    <r>
      <rPr>
        <sz val="10.5"/>
        <rFont val="Calibri"/>
        <family val="1"/>
      </rPr>
      <t>Length: 12'</t>
    </r>
  </si>
  <si>
    <r>
      <rPr>
        <sz val="10.5"/>
        <rFont val="Calibri"/>
        <family val="1"/>
      </rPr>
      <t>Thickness: 14 SWG</t>
    </r>
  </si>
  <si>
    <r>
      <rPr>
        <sz val="10.5"/>
        <rFont val="Calibri"/>
        <family val="1"/>
      </rPr>
      <t>Base Holders: 6</t>
    </r>
  </si>
  <si>
    <r>
      <rPr>
        <b/>
        <sz val="15"/>
        <color rgb="FF0070BF"/>
        <rFont val="Calibri"/>
        <family val="1"/>
      </rPr>
      <t>CIVIL PADS SPECIFICATIONS</t>
    </r>
  </si>
  <si>
    <r>
      <rPr>
        <b/>
        <sz val="10.5"/>
        <rFont val="Calibri"/>
        <family val="1"/>
      </rPr>
      <t>Elevated Structure</t>
    </r>
  </si>
  <si>
    <t>Pads</t>
  </si>
  <si>
    <t>Height:12"</t>
  </si>
  <si>
    <t>Down Side: 4'</t>
  </si>
  <si>
    <t>Width: 12"</t>
  </si>
  <si>
    <t>Hight up to :  8 ' to 10' where  suitable degree required at site</t>
  </si>
  <si>
    <t>Length: 12"</t>
  </si>
  <si>
    <r>
      <rPr>
        <sz val="10.5"/>
        <rFont val="Calibri"/>
        <family val="1"/>
      </rPr>
      <t>Material: Concrete</t>
    </r>
  </si>
  <si>
    <t>FAST/ Pakistan Cable</t>
  </si>
  <si>
    <r>
      <t xml:space="preserve">AC / DC Cables </t>
    </r>
    <r>
      <rPr>
        <b/>
        <sz val="11"/>
        <rFont val="Calibri"/>
        <family val="2"/>
      </rPr>
      <t>(DC cable only Flexible - Tin Cu XLPO XLPO PHOTVLTAIC 1500V Flex for String / panels to Inverter)</t>
    </r>
  </si>
  <si>
    <t>Inverex Nitrox</t>
  </si>
  <si>
    <t>Mounted - High Beam Structure</t>
  </si>
  <si>
    <r>
      <t xml:space="preserve">Main DB shall be made of 16 SWG steel sheet total enclosed electro static painted, wall mounted, along with indication lights, volte meter (AMP meter only AC DB) complete votage control Device,in all respects and </t>
    </r>
    <r>
      <rPr>
        <b/>
        <u/>
        <sz val="11"/>
        <rFont val="Calibri"/>
        <family val="2"/>
      </rPr>
      <t>AC /DC DB shall be installed separately</t>
    </r>
    <r>
      <rPr>
        <sz val="11"/>
        <rFont val="Calibri"/>
        <family val="2"/>
      </rPr>
      <t>.Ac MCB 2 Pole Breaker for Inverter IN PUT 32AMP (Qty- 03Nos)  &amp; MCB 2 Pole Breaker for Inverter OUT PUT (Qty-06 Nos),DC Breaker 2 Pole for string 16/ 32 AMP (Qty-  6Nos) according to the load distrbution.</t>
    </r>
  </si>
  <si>
    <t>Pylontech</t>
  </si>
  <si>
    <t xml:space="preserve">Canadian / Jinko /Longi </t>
  </si>
  <si>
    <t>AC / DC - Additional breakers /External Fuse (Ac SPD- 2 number &amp; for DC SPD- 04 Numbers)</t>
  </si>
  <si>
    <t>N-Type 610 Watts</t>
  </si>
  <si>
    <t>BOQ for Solar Energy System at IBB Burewala Branch 833 (Hybrid)- 12 KW- Central Region</t>
  </si>
  <si>
    <t>(9) Quoted price should be valid for 02 Months.</t>
  </si>
  <si>
    <t>(10) The above quoted amount inclusive GST , GST shall be paid on submission of GST Invoice only.</t>
  </si>
  <si>
    <r>
      <t>H- Beam Structural (Mughal) C- Chanel and Cross along with Galvanized bolts, washer, Nuts,  red oxide, paint works, Top &amp; Base palates, Epoxy and support accessories , Walkind Pathway for Solar Panels cleaning, complete in all respect</t>
    </r>
    <r>
      <rPr>
        <b/>
        <sz val="11"/>
        <rFont val="Calibri"/>
        <family val="2"/>
      </rPr>
      <t xml:space="preserve"> (Specification is attached Annex- A)</t>
    </r>
  </si>
  <si>
    <t>06 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</si>
</sst>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_(* \(#,##0\);_(* &quot;-&quot;??_);_(@_)"/>
    <numFmt numFmtId="166" formatCode="_-* #,##0_-;\-* #,##0_-;_-* &quot;-&quot;??_-;_-@_-"/>
  </numFmts>
  <fonts count="23" x14ac:knownFonts="1">
    <font>
      <sz val="11"/>
      <color theme="1"/>
      <name val="Calibri"/>
      <family val="2"/>
      <scheme val="minor"/>
    </font>
    <font>
      <sz val="10"/>
      <color theme="1"/>
      <name val="Calibri"/>
      <family val="2"/>
    </font>
    <font>
      <sz val="11"/>
      <color theme="1"/>
      <name val="Calibri"/>
      <family val="2"/>
    </font>
    <font>
      <sz val="11"/>
      <name val="Calibri"/>
      <family val="2"/>
    </font>
    <font>
      <b/>
      <sz val="11"/>
      <color rgb="FF3F3F3F"/>
      <name val="Calibri"/>
      <family val="2"/>
    </font>
    <font>
      <b/>
      <sz val="11"/>
      <color theme="1"/>
      <name val="Calibri"/>
      <family val="2"/>
    </font>
    <font>
      <sz val="11"/>
      <color rgb="FF000000"/>
      <name val="Calibri"/>
      <family val="2"/>
    </font>
    <font>
      <b/>
      <u/>
      <sz val="18"/>
      <color rgb="FF3F3F3F"/>
      <name val="Calibri"/>
      <family val="2"/>
    </font>
    <font>
      <sz val="11"/>
      <color theme="1"/>
      <name val="Calibri"/>
      <family val="2"/>
      <scheme val="minor"/>
    </font>
    <font>
      <b/>
      <sz val="12"/>
      <color rgb="FF3F3F3F"/>
      <name val="Calibri"/>
      <family val="2"/>
    </font>
    <font>
      <sz val="11"/>
      <name val="Calibri"/>
      <family val="2"/>
      <scheme val="minor"/>
    </font>
    <font>
      <b/>
      <sz val="11"/>
      <color rgb="FFFF0000"/>
      <name val="Calibri"/>
      <family val="2"/>
    </font>
    <font>
      <b/>
      <u/>
      <sz val="11"/>
      <name val="Calibri"/>
      <family val="2"/>
    </font>
    <font>
      <b/>
      <sz val="14"/>
      <color theme="1"/>
      <name val="Calibri"/>
      <family val="2"/>
    </font>
    <font>
      <b/>
      <sz val="11"/>
      <name val="Calibri"/>
      <family val="2"/>
    </font>
    <font>
      <b/>
      <sz val="14"/>
      <name val="Calibri"/>
      <family val="2"/>
    </font>
    <font>
      <b/>
      <sz val="14"/>
      <color theme="1"/>
      <name val="Calibri"/>
      <family val="2"/>
      <scheme val="minor"/>
    </font>
    <font>
      <b/>
      <sz val="15"/>
      <name val="Calibri"/>
      <family val="2"/>
    </font>
    <font>
      <b/>
      <sz val="15"/>
      <color rgb="FF0070BF"/>
      <name val="Calibri"/>
      <family val="1"/>
    </font>
    <font>
      <b/>
      <sz val="10.5"/>
      <name val="Calibri"/>
      <family val="2"/>
    </font>
    <font>
      <b/>
      <sz val="10.5"/>
      <name val="Calibri"/>
      <family val="1"/>
    </font>
    <font>
      <sz val="10.5"/>
      <name val="Calibri"/>
      <family val="2"/>
    </font>
    <font>
      <sz val="10.5"/>
      <name val="Calibri"/>
      <family val="1"/>
    </font>
  </fonts>
  <fills count="6">
    <fill>
      <patternFill patternType="none"/>
    </fill>
    <fill>
      <patternFill patternType="gray125"/>
    </fill>
    <fill>
      <patternFill patternType="solid">
        <fgColor rgb="FFBFBFBF"/>
        <bgColor rgb="FFBFBFBF"/>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0">
    <border>
      <left/>
      <right/>
      <top/>
      <bottom/>
      <diagonal/>
    </border>
    <border>
      <left/>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2">
    <xf numFmtId="0" fontId="0" fillId="0" borderId="0"/>
    <xf numFmtId="164" fontId="8" fillId="0" borderId="0" applyFont="0" applyFill="0" applyBorder="0" applyAlignment="0" applyProtection="0"/>
  </cellStyleXfs>
  <cellXfs count="94">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6" fillId="0" borderId="0" xfId="0" applyFont="1" applyAlignment="1">
      <alignment horizontal="center" vertical="center"/>
    </xf>
    <xf numFmtId="0" fontId="3" fillId="0" borderId="2" xfId="0" applyFont="1" applyBorder="1" applyAlignment="1">
      <alignment horizontal="left" wrapText="1"/>
    </xf>
    <xf numFmtId="0" fontId="3" fillId="0" borderId="2" xfId="0" applyFont="1" applyBorder="1"/>
    <xf numFmtId="10"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wrapText="1"/>
    </xf>
    <xf numFmtId="165" fontId="2" fillId="0" borderId="1" xfId="0" applyNumberFormat="1" applyFont="1" applyBorder="1" applyAlignment="1">
      <alignment horizontal="center" vertical="center"/>
    </xf>
    <xf numFmtId="0" fontId="1" fillId="0" borderId="0" xfId="0" applyFont="1" applyBorder="1" applyAlignment="1">
      <alignment vertical="center"/>
    </xf>
    <xf numFmtId="0" fontId="4" fillId="0" borderId="0" xfId="0" applyFont="1" applyBorder="1" applyAlignment="1">
      <alignment horizontal="center"/>
    </xf>
    <xf numFmtId="164" fontId="4" fillId="0" borderId="1" xfId="1" applyFont="1" applyBorder="1" applyAlignment="1">
      <alignment vertical="center"/>
    </xf>
    <xf numFmtId="0" fontId="5" fillId="0" borderId="2" xfId="0" applyFont="1" applyBorder="1" applyAlignment="1">
      <alignment vertical="center" wrapText="1"/>
    </xf>
    <xf numFmtId="0" fontId="5" fillId="0" borderId="2" xfId="0" applyFont="1" applyBorder="1" applyAlignment="1">
      <alignment wrapText="1"/>
    </xf>
    <xf numFmtId="0" fontId="5" fillId="2" borderId="2" xfId="0" applyFont="1" applyFill="1" applyBorder="1" applyAlignment="1">
      <alignment horizontal="center" vertical="center"/>
    </xf>
    <xf numFmtId="0" fontId="4" fillId="0" borderId="2" xfId="0" applyFont="1" applyBorder="1" applyAlignment="1">
      <alignment wrapText="1"/>
    </xf>
    <xf numFmtId="0" fontId="3" fillId="0" borderId="2" xfId="0" applyFont="1" applyBorder="1" applyAlignment="1"/>
    <xf numFmtId="0" fontId="4" fillId="0" borderId="2" xfId="0" applyFont="1" applyBorder="1" applyAlignment="1">
      <alignment vertical="center" wrapText="1"/>
    </xf>
    <xf numFmtId="0" fontId="3" fillId="0" borderId="2" xfId="0" applyFont="1" applyBorder="1" applyAlignment="1">
      <alignment wrapText="1"/>
    </xf>
    <xf numFmtId="0" fontId="0" fillId="0" borderId="2" xfId="0" applyBorder="1" applyAlignment="1">
      <alignment horizontal="left" vertical="top" wrapText="1"/>
    </xf>
    <xf numFmtId="0" fontId="3" fillId="0" borderId="2" xfId="0" applyFont="1" applyFill="1" applyBorder="1" applyAlignment="1"/>
    <xf numFmtId="0" fontId="3" fillId="4" borderId="2" xfId="0" applyFont="1" applyFill="1" applyBorder="1"/>
    <xf numFmtId="0" fontId="14" fillId="2" borderId="6" xfId="0" applyFont="1" applyFill="1" applyBorder="1" applyAlignment="1">
      <alignment horizontal="center" vertical="center" wrapText="1"/>
    </xf>
    <xf numFmtId="165" fontId="14" fillId="2" borderId="6" xfId="1" applyNumberFormat="1" applyFont="1" applyFill="1" applyBorder="1" applyAlignment="1">
      <alignment horizontal="center" vertical="center" wrapText="1"/>
    </xf>
    <xf numFmtId="165" fontId="13" fillId="0" borderId="2" xfId="0" applyNumberFormat="1" applyFont="1" applyBorder="1" applyAlignment="1">
      <alignment wrapText="1"/>
    </xf>
    <xf numFmtId="0" fontId="2" fillId="3" borderId="7" xfId="0" applyFont="1" applyFill="1" applyBorder="1" applyAlignment="1">
      <alignment wrapText="1"/>
    </xf>
    <xf numFmtId="0" fontId="2" fillId="3" borderId="8" xfId="0" applyFont="1" applyFill="1" applyBorder="1" applyAlignment="1">
      <alignment wrapText="1"/>
    </xf>
    <xf numFmtId="0" fontId="2" fillId="3" borderId="7" xfId="0" applyFont="1" applyFill="1" applyBorder="1" applyAlignment="1"/>
    <xf numFmtId="0" fontId="2" fillId="3" borderId="8" xfId="0" applyFont="1" applyFill="1" applyBorder="1" applyAlignment="1"/>
    <xf numFmtId="0" fontId="5"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left" vertical="center"/>
    </xf>
    <xf numFmtId="0" fontId="11" fillId="0" borderId="0" xfId="0" applyFont="1" applyAlignment="1">
      <alignment horizontal="left" vertical="center"/>
    </xf>
    <xf numFmtId="0" fontId="0" fillId="0" borderId="0" xfId="0" applyBorder="1"/>
    <xf numFmtId="0" fontId="0" fillId="0" borderId="0" xfId="0"/>
    <xf numFmtId="0" fontId="0" fillId="0" borderId="0" xfId="0" applyAlignment="1">
      <alignment wrapText="1"/>
    </xf>
    <xf numFmtId="0" fontId="2" fillId="0" borderId="2" xfId="0" applyFont="1" applyBorder="1" applyAlignment="1">
      <alignment horizontal="center" vertical="center"/>
    </xf>
    <xf numFmtId="166" fontId="5" fillId="0" borderId="2" xfId="1" applyNumberFormat="1" applyFont="1" applyBorder="1" applyAlignment="1">
      <alignment horizontal="center" vertical="center"/>
    </xf>
    <xf numFmtId="166" fontId="2" fillId="0" borderId="2" xfId="1" applyNumberFormat="1" applyFont="1" applyBorder="1" applyAlignment="1">
      <alignment horizontal="center" vertical="center"/>
    </xf>
    <xf numFmtId="166" fontId="13" fillId="0" borderId="2" xfId="1" applyNumberFormat="1" applyFont="1" applyBorder="1" applyAlignment="1">
      <alignment vertical="center" wrapText="1"/>
    </xf>
    <xf numFmtId="0" fontId="0" fillId="0" borderId="0" xfId="0" applyFill="1" applyBorder="1" applyAlignment="1">
      <alignment horizontal="left" vertical="top"/>
    </xf>
    <xf numFmtId="0" fontId="16" fillId="0" borderId="2" xfId="0" applyFont="1" applyFill="1" applyBorder="1" applyAlignment="1">
      <alignment horizontal="left" vertical="top"/>
    </xf>
    <xf numFmtId="0" fontId="19" fillId="0" borderId="2" xfId="0" applyFont="1" applyFill="1" applyBorder="1" applyAlignment="1">
      <alignment horizontal="left" vertical="center" wrapText="1"/>
    </xf>
    <xf numFmtId="0" fontId="21" fillId="0" borderId="2" xfId="0" applyFont="1" applyFill="1" applyBorder="1" applyAlignment="1">
      <alignment horizontal="left" vertical="top" wrapText="1"/>
    </xf>
    <xf numFmtId="0" fontId="22" fillId="0" borderId="2" xfId="0" applyFont="1" applyFill="1" applyBorder="1" applyAlignment="1">
      <alignment horizontal="left" vertical="top" wrapText="1"/>
    </xf>
    <xf numFmtId="0" fontId="19" fillId="0" borderId="2" xfId="0" applyFont="1" applyFill="1" applyBorder="1" applyAlignment="1">
      <alignment horizontal="left" vertical="top" wrapText="1"/>
    </xf>
    <xf numFmtId="0" fontId="0" fillId="0" borderId="0" xfId="0"/>
    <xf numFmtId="0" fontId="9" fillId="0" borderId="8" xfId="0" applyFont="1" applyBorder="1" applyAlignment="1"/>
    <xf numFmtId="0" fontId="9" fillId="0" borderId="9" xfId="0" applyFont="1" applyBorder="1" applyAlignment="1"/>
    <xf numFmtId="0" fontId="0" fillId="0" borderId="0" xfId="0"/>
    <xf numFmtId="0" fontId="2" fillId="0" borderId="0" xfId="0" applyFont="1" applyAlignment="1">
      <alignment horizontal="left" vertical="center"/>
    </xf>
    <xf numFmtId="0" fontId="2" fillId="0" borderId="0" xfId="0" applyFont="1" applyAlignment="1">
      <alignment horizontal="left"/>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horizontal="left" vertical="center"/>
    </xf>
    <xf numFmtId="0" fontId="11" fillId="0" borderId="0" xfId="0" applyFont="1" applyAlignment="1">
      <alignment horizontal="left" vertical="center"/>
    </xf>
    <xf numFmtId="166" fontId="2" fillId="0" borderId="2" xfId="1" applyNumberFormat="1" applyFont="1" applyBorder="1" applyAlignment="1">
      <alignment horizontal="center" vertical="center" wrapText="1"/>
    </xf>
    <xf numFmtId="166" fontId="13" fillId="0" borderId="2" xfId="1" applyNumberFormat="1" applyFont="1" applyBorder="1" applyAlignment="1">
      <alignment horizontal="center" vertical="center" wrapText="1"/>
    </xf>
    <xf numFmtId="0" fontId="2" fillId="0" borderId="0" xfId="0" applyFont="1" applyBorder="1" applyAlignment="1">
      <alignment vertical="center"/>
    </xf>
    <xf numFmtId="0" fontId="0" fillId="0" borderId="0" xfId="0" applyBorder="1"/>
    <xf numFmtId="0" fontId="2" fillId="0" borderId="0" xfId="0" applyFont="1" applyAlignment="1">
      <alignment vertical="center"/>
    </xf>
    <xf numFmtId="0" fontId="0" fillId="0" borderId="0" xfId="0"/>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166" fontId="15" fillId="0" borderId="2" xfId="1" applyNumberFormat="1" applyFont="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center" vertical="center"/>
    </xf>
    <xf numFmtId="166" fontId="5" fillId="0" borderId="2" xfId="1" applyNumberFormat="1" applyFont="1" applyBorder="1" applyAlignment="1">
      <alignment horizontal="center" vertical="center"/>
    </xf>
    <xf numFmtId="166" fontId="2" fillId="0" borderId="2" xfId="1" applyNumberFormat="1" applyFont="1" applyBorder="1" applyAlignment="1">
      <alignment horizontal="center" vertical="center"/>
    </xf>
    <xf numFmtId="166" fontId="15" fillId="0" borderId="2" xfId="1" applyNumberFormat="1" applyFont="1" applyBorder="1" applyAlignment="1">
      <alignment horizontal="center" vertical="center"/>
    </xf>
    <xf numFmtId="166" fontId="5" fillId="0" borderId="2" xfId="1"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166" fontId="13" fillId="0" borderId="2" xfId="1" applyNumberFormat="1" applyFont="1" applyBorder="1" applyAlignment="1">
      <alignment horizontal="center" vertical="center"/>
    </xf>
    <xf numFmtId="166" fontId="3" fillId="0" borderId="2" xfId="1" applyNumberFormat="1" applyFont="1" applyBorder="1" applyAlignment="1">
      <alignment horizontal="center" vertical="center" wrapText="1"/>
    </xf>
    <xf numFmtId="166" fontId="14" fillId="0" borderId="2" xfId="1" applyNumberFormat="1" applyFont="1" applyBorder="1" applyAlignment="1">
      <alignment horizontal="center" vertical="center" wrapText="1"/>
    </xf>
    <xf numFmtId="0" fontId="7" fillId="0" borderId="0" xfId="0" applyFont="1" applyBorder="1" applyAlignment="1">
      <alignment horizontal="center"/>
    </xf>
    <xf numFmtId="10" fontId="5" fillId="2" borderId="2" xfId="0" applyNumberFormat="1" applyFont="1" applyFill="1" applyBorder="1" applyAlignment="1">
      <alignment horizontal="center" vertical="center" wrapText="1"/>
    </xf>
    <xf numFmtId="166" fontId="5" fillId="0" borderId="5" xfId="1" applyNumberFormat="1" applyFont="1" applyBorder="1" applyAlignment="1">
      <alignment horizontal="center" vertical="center" wrapText="1"/>
    </xf>
    <xf numFmtId="166" fontId="2" fillId="0" borderId="5" xfId="1" applyNumberFormat="1" applyFont="1" applyBorder="1" applyAlignment="1">
      <alignment horizontal="center" vertical="center" wrapText="1"/>
    </xf>
    <xf numFmtId="166" fontId="13" fillId="0" borderId="5" xfId="1" applyNumberFormat="1" applyFont="1" applyBorder="1" applyAlignment="1">
      <alignment horizontal="center" vertical="center" wrapText="1"/>
    </xf>
    <xf numFmtId="0" fontId="0" fillId="0" borderId="0" xfId="0" applyFill="1" applyBorder="1" applyAlignment="1">
      <alignment horizontal="left" vertical="top" wrapText="1" indent="13"/>
    </xf>
    <xf numFmtId="0" fontId="20" fillId="0" borderId="2" xfId="0" applyFont="1" applyFill="1" applyBorder="1" applyAlignment="1">
      <alignment horizontal="left" vertical="center" wrapText="1" indent="15"/>
    </xf>
    <xf numFmtId="0" fontId="19" fillId="0" borderId="2" xfId="0" applyFont="1" applyFill="1" applyBorder="1" applyAlignment="1">
      <alignment horizontal="left" vertical="center" wrapText="1" indent="15"/>
    </xf>
    <xf numFmtId="0" fontId="22" fillId="0" borderId="2" xfId="0" applyFont="1" applyFill="1" applyBorder="1" applyAlignment="1">
      <alignment horizontal="left" vertical="top" wrapText="1" indent="15"/>
    </xf>
    <xf numFmtId="0" fontId="21" fillId="0" borderId="2" xfId="0" applyFont="1" applyFill="1" applyBorder="1" applyAlignment="1">
      <alignment horizontal="left" vertical="top" wrapText="1" indent="15"/>
    </xf>
    <xf numFmtId="0" fontId="17" fillId="5" borderId="2" xfId="0" applyFont="1" applyFill="1" applyBorder="1" applyAlignment="1">
      <alignment horizontal="center" vertical="top" wrapText="1"/>
    </xf>
    <xf numFmtId="0" fontId="0" fillId="0" borderId="2" xfId="0" applyFill="1" applyBorder="1" applyAlignment="1">
      <alignment horizontal="left" wrapText="1"/>
    </xf>
    <xf numFmtId="0" fontId="19" fillId="0" borderId="2" xfId="0" applyFont="1" applyFill="1" applyBorder="1" applyAlignment="1">
      <alignment horizontal="left" vertical="top" wrapText="1" indent="15"/>
    </xf>
    <xf numFmtId="0" fontId="20" fillId="0" borderId="2" xfId="0" applyFont="1" applyFill="1" applyBorder="1" applyAlignment="1">
      <alignment horizontal="left" vertical="top" wrapText="1" indent="15"/>
    </xf>
  </cellXfs>
  <cellStyles count="2">
    <cellStyle name="Comma" xfId="1" builtinId="3"/>
    <cellStyle name="Normal" xfId="0" builtinId="0"/>
  </cellStyles>
  <dxfs count="0"/>
  <tableStyles count="0" defaultTableStyle="TableStyleMedium9"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152001</xdr:colOff>
      <xdr:row>5</xdr:row>
      <xdr:rowOff>323231</xdr:rowOff>
    </xdr:from>
    <xdr:ext cx="959519" cy="673379"/>
    <xdr:pic>
      <xdr:nvPicPr>
        <xdr:cNvPr id="2" name="image45.jpeg">
          <a:extLst>
            <a:ext uri="{FF2B5EF4-FFF2-40B4-BE49-F238E27FC236}">
              <a16:creationId xmlns:a16="http://schemas.microsoft.com/office/drawing/2014/main" id="{091964DC-E81A-49EE-9553-4685827868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4576" y="1332881"/>
          <a:ext cx="959519" cy="673379"/>
        </a:xfrm>
        <a:prstGeom prst="rect">
          <a:avLst/>
        </a:prstGeom>
      </xdr:spPr>
    </xdr:pic>
    <xdr:clientData/>
  </xdr:oneCellAnchor>
  <xdr:oneCellAnchor>
    <xdr:from>
      <xdr:col>1</xdr:col>
      <xdr:colOff>2928128</xdr:colOff>
      <xdr:row>20</xdr:row>
      <xdr:rowOff>263652</xdr:rowOff>
    </xdr:from>
    <xdr:ext cx="1048512" cy="804671"/>
    <xdr:pic>
      <xdr:nvPicPr>
        <xdr:cNvPr id="3" name="image47.png">
          <a:extLst>
            <a:ext uri="{FF2B5EF4-FFF2-40B4-BE49-F238E27FC236}">
              <a16:creationId xmlns:a16="http://schemas.microsoft.com/office/drawing/2014/main" id="{CC73843A-8B1E-4BC8-A7E5-B5998677F3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80703" y="4530852"/>
          <a:ext cx="1048512" cy="804671"/>
        </a:xfrm>
        <a:prstGeom prst="rect">
          <a:avLst/>
        </a:prstGeom>
      </xdr:spPr>
    </xdr:pic>
    <xdr:clientData/>
  </xdr:oneCellAnchor>
  <xdr:oneCellAnchor>
    <xdr:from>
      <xdr:col>1</xdr:col>
      <xdr:colOff>206264</xdr:colOff>
      <xdr:row>28</xdr:row>
      <xdr:rowOff>100583</xdr:rowOff>
    </xdr:from>
    <xdr:ext cx="601979" cy="1051559"/>
    <xdr:pic>
      <xdr:nvPicPr>
        <xdr:cNvPr id="4" name="image48.png">
          <a:extLst>
            <a:ext uri="{FF2B5EF4-FFF2-40B4-BE49-F238E27FC236}">
              <a16:creationId xmlns:a16="http://schemas.microsoft.com/office/drawing/2014/main" id="{96E03B19-A92F-4A78-8BA0-E98A8176C6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58839" y="6282308"/>
          <a:ext cx="601979" cy="1051559"/>
        </a:xfrm>
        <a:prstGeom prst="rect">
          <a:avLst/>
        </a:prstGeom>
      </xdr:spPr>
    </xdr:pic>
    <xdr:clientData/>
  </xdr:oneCellAnchor>
  <xdr:oneCellAnchor>
    <xdr:from>
      <xdr:col>1</xdr:col>
      <xdr:colOff>2960133</xdr:colOff>
      <xdr:row>28</xdr:row>
      <xdr:rowOff>207263</xdr:rowOff>
    </xdr:from>
    <xdr:ext cx="969263" cy="923543"/>
    <xdr:pic>
      <xdr:nvPicPr>
        <xdr:cNvPr id="5" name="image49.png">
          <a:extLst>
            <a:ext uri="{FF2B5EF4-FFF2-40B4-BE49-F238E27FC236}">
              <a16:creationId xmlns:a16="http://schemas.microsoft.com/office/drawing/2014/main" id="{B0A9DA43-743B-4E63-8799-C656ECA9F43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12708" y="6388988"/>
          <a:ext cx="969263" cy="923543"/>
        </a:xfrm>
        <a:prstGeom prst="rect">
          <a:avLst/>
        </a:prstGeom>
      </xdr:spPr>
    </xdr:pic>
    <xdr:clientData/>
  </xdr:oneCellAnchor>
  <xdr:oneCellAnchor>
    <xdr:from>
      <xdr:col>1</xdr:col>
      <xdr:colOff>15764</xdr:colOff>
      <xdr:row>12</xdr:row>
      <xdr:rowOff>184403</xdr:rowOff>
    </xdr:from>
    <xdr:ext cx="1142999" cy="763524"/>
    <xdr:pic>
      <xdr:nvPicPr>
        <xdr:cNvPr id="6" name="image50.png">
          <a:extLst>
            <a:ext uri="{FF2B5EF4-FFF2-40B4-BE49-F238E27FC236}">
              <a16:creationId xmlns:a16="http://schemas.microsoft.com/office/drawing/2014/main" id="{4D341FD6-E2F8-41CF-97FF-4EB42E0B4E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68339" y="2775203"/>
          <a:ext cx="1142999" cy="763524"/>
        </a:xfrm>
        <a:prstGeom prst="rect">
          <a:avLst/>
        </a:prstGeom>
      </xdr:spPr>
    </xdr:pic>
    <xdr:clientData/>
  </xdr:oneCellAnchor>
  <xdr:oneCellAnchor>
    <xdr:from>
      <xdr:col>1</xdr:col>
      <xdr:colOff>221504</xdr:colOff>
      <xdr:row>20</xdr:row>
      <xdr:rowOff>97535</xdr:rowOff>
    </xdr:from>
    <xdr:ext cx="813815" cy="1065275"/>
    <xdr:pic>
      <xdr:nvPicPr>
        <xdr:cNvPr id="7" name="image52.png">
          <a:extLst>
            <a:ext uri="{FF2B5EF4-FFF2-40B4-BE49-F238E27FC236}">
              <a16:creationId xmlns:a16="http://schemas.microsoft.com/office/drawing/2014/main" id="{C76B9C5F-73C8-4B2C-A3E5-A76E8B57795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74079" y="4421885"/>
          <a:ext cx="813815" cy="1065275"/>
        </a:xfrm>
        <a:prstGeom prst="rect">
          <a:avLst/>
        </a:prstGeom>
      </xdr:spPr>
    </xdr:pic>
    <xdr:clientData/>
  </xdr:oneCellAnchor>
  <xdr:twoCellAnchor editAs="oneCell">
    <xdr:from>
      <xdr:col>4</xdr:col>
      <xdr:colOff>0</xdr:colOff>
      <xdr:row>6</xdr:row>
      <xdr:rowOff>0</xdr:rowOff>
    </xdr:from>
    <xdr:to>
      <xdr:col>4</xdr:col>
      <xdr:colOff>304800</xdr:colOff>
      <xdr:row>7</xdr:row>
      <xdr:rowOff>95250</xdr:rowOff>
    </xdr:to>
    <xdr:sp macro="" textlink="">
      <xdr:nvSpPr>
        <xdr:cNvPr id="8" name="AutoShape 6" descr="Galvanised Channel - Libra Systems UK">
          <a:extLst>
            <a:ext uri="{FF2B5EF4-FFF2-40B4-BE49-F238E27FC236}">
              <a16:creationId xmlns:a16="http://schemas.microsoft.com/office/drawing/2014/main" id="{E3FB6D2F-BA27-41E4-AFEE-D6859648061D}"/>
            </a:ext>
          </a:extLst>
        </xdr:cNvPr>
        <xdr:cNvSpPr>
          <a:spLocks noChangeAspect="1" noChangeArrowheads="1"/>
        </xdr:cNvSpPr>
      </xdr:nvSpPr>
      <xdr:spPr bwMode="auto">
        <a:xfrm>
          <a:off x="8124825"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2952749</xdr:colOff>
      <xdr:row>5</xdr:row>
      <xdr:rowOff>38100</xdr:rowOff>
    </xdr:from>
    <xdr:to>
      <xdr:col>2</xdr:col>
      <xdr:colOff>380999</xdr:colOff>
      <xdr:row>9</xdr:row>
      <xdr:rowOff>161925</xdr:rowOff>
    </xdr:to>
    <xdr:pic>
      <xdr:nvPicPr>
        <xdr:cNvPr id="9" name="Picture 8">
          <a:extLst>
            <a:ext uri="{FF2B5EF4-FFF2-40B4-BE49-F238E27FC236}">
              <a16:creationId xmlns:a16="http://schemas.microsoft.com/office/drawing/2014/main" id="{2C8D6EE0-BD64-4293-B89F-172BFA2CB6D3}"/>
            </a:ext>
          </a:extLst>
        </xdr:cNvPr>
        <xdr:cNvPicPr>
          <a:picLocks noChangeAspect="1"/>
        </xdr:cNvPicPr>
      </xdr:nvPicPr>
      <xdr:blipFill>
        <a:blip xmlns:r="http://schemas.openxmlformats.org/officeDocument/2006/relationships" r:embed="rId7"/>
        <a:stretch>
          <a:fillRect/>
        </a:stretch>
      </xdr:blipFill>
      <xdr:spPr>
        <a:xfrm>
          <a:off x="4505324" y="1162050"/>
          <a:ext cx="1495425" cy="962025"/>
        </a:xfrm>
        <a:prstGeom prst="rect">
          <a:avLst/>
        </a:prstGeom>
      </xdr:spPr>
    </xdr:pic>
    <xdr:clientData/>
  </xdr:twoCellAnchor>
  <xdr:twoCellAnchor editAs="oneCell">
    <xdr:from>
      <xdr:col>1</xdr:col>
      <xdr:colOff>2990850</xdr:colOff>
      <xdr:row>11</xdr:row>
      <xdr:rowOff>200025</xdr:rowOff>
    </xdr:from>
    <xdr:to>
      <xdr:col>2</xdr:col>
      <xdr:colOff>352425</xdr:colOff>
      <xdr:row>18</xdr:row>
      <xdr:rowOff>38100</xdr:rowOff>
    </xdr:to>
    <xdr:pic>
      <xdr:nvPicPr>
        <xdr:cNvPr id="10" name="Picture 9" descr="See related image detail. Mild Steel 10X5inch MS Rectangular Pipe, Thickness: 10mm at Rs 63.80/kg ...">
          <a:extLst>
            <a:ext uri="{FF2B5EF4-FFF2-40B4-BE49-F238E27FC236}">
              <a16:creationId xmlns:a16="http://schemas.microsoft.com/office/drawing/2014/main" id="{961CE1CA-3E10-4BDB-904D-4446230FB9B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543425" y="2581275"/>
          <a:ext cx="1428750"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D646-2ED0-4E9B-9206-9BCAA7371170}">
  <dimension ref="A2:L56"/>
  <sheetViews>
    <sheetView tabSelected="1" zoomScale="80" zoomScaleNormal="80" workbookViewId="0">
      <selection activeCell="E9" sqref="E9:E13"/>
    </sheetView>
  </sheetViews>
  <sheetFormatPr defaultRowHeight="15" x14ac:dyDescent="0.25"/>
  <cols>
    <col min="1" max="1" width="5.140625" style="35" bestFit="1" customWidth="1"/>
    <col min="2" max="2" width="21" style="35" customWidth="1"/>
    <col min="3" max="3" width="15" style="35" customWidth="1"/>
    <col min="4" max="4" width="70" style="35" bestFit="1" customWidth="1"/>
    <col min="5" max="5" width="4.85546875" style="35" customWidth="1"/>
    <col min="6" max="6" width="7.28515625" style="35" customWidth="1"/>
    <col min="7" max="7" width="10" style="35" bestFit="1" customWidth="1"/>
    <col min="8" max="8" width="15.85546875" style="35" customWidth="1"/>
    <col min="9" max="10" width="10.85546875" style="35" customWidth="1"/>
    <col min="11" max="11" width="14.140625" style="35" customWidth="1"/>
    <col min="12" max="16384" width="9.140625" style="35"/>
  </cols>
  <sheetData>
    <row r="2" spans="1:12" ht="24" thickBot="1" x14ac:dyDescent="0.4">
      <c r="A2" s="80" t="s">
        <v>115</v>
      </c>
      <c r="B2" s="80"/>
      <c r="C2" s="80"/>
      <c r="D2" s="80"/>
      <c r="E2" s="80"/>
      <c r="F2" s="80"/>
      <c r="G2" s="80"/>
      <c r="H2" s="80"/>
      <c r="I2" s="80"/>
      <c r="J2" s="80"/>
      <c r="K2" s="80"/>
    </row>
    <row r="3" spans="1:12" ht="46.5" thickTop="1" thickBot="1" x14ac:dyDescent="0.3">
      <c r="A3" s="7" t="s">
        <v>1</v>
      </c>
      <c r="B3" s="7" t="s">
        <v>13</v>
      </c>
      <c r="C3" s="81" t="s">
        <v>0</v>
      </c>
      <c r="D3" s="81"/>
      <c r="E3" s="15" t="s">
        <v>2</v>
      </c>
      <c r="F3" s="15" t="s">
        <v>3</v>
      </c>
      <c r="G3" s="8" t="s">
        <v>8</v>
      </c>
      <c r="H3" s="23" t="s">
        <v>11</v>
      </c>
      <c r="I3" s="24" t="s">
        <v>59</v>
      </c>
      <c r="J3" s="24" t="s">
        <v>60</v>
      </c>
      <c r="K3" s="24" t="s">
        <v>61</v>
      </c>
    </row>
    <row r="4" spans="1:12" ht="18" customHeight="1" thickTop="1" thickBot="1" x14ac:dyDescent="0.3">
      <c r="A4" s="67">
        <v>1</v>
      </c>
      <c r="B4" s="68" t="s">
        <v>45</v>
      </c>
      <c r="C4" s="16" t="s">
        <v>46</v>
      </c>
      <c r="D4" s="17" t="s">
        <v>114</v>
      </c>
      <c r="E4" s="67">
        <v>20</v>
      </c>
      <c r="F4" s="67" t="s">
        <v>4</v>
      </c>
      <c r="G4" s="67"/>
      <c r="H4" s="82">
        <f>G4*E4</f>
        <v>0</v>
      </c>
      <c r="I4" s="83">
        <v>10</v>
      </c>
      <c r="J4" s="83">
        <f>H4*I4/100</f>
        <v>0</v>
      </c>
      <c r="K4" s="84">
        <f>J4+H4</f>
        <v>0</v>
      </c>
    </row>
    <row r="5" spans="1:12" ht="16.5" thickTop="1" thickBot="1" x14ac:dyDescent="0.3">
      <c r="A5" s="67"/>
      <c r="B5" s="68"/>
      <c r="C5" s="13" t="s">
        <v>14</v>
      </c>
      <c r="D5" s="6" t="s">
        <v>112</v>
      </c>
      <c r="E5" s="67"/>
      <c r="F5" s="67"/>
      <c r="G5" s="67"/>
      <c r="H5" s="73"/>
      <c r="I5" s="57"/>
      <c r="J5" s="57"/>
      <c r="K5" s="58"/>
    </row>
    <row r="6" spans="1:12" ht="16.5" thickTop="1" thickBot="1" x14ac:dyDescent="0.3">
      <c r="A6" s="67"/>
      <c r="B6" s="68"/>
      <c r="C6" s="13" t="s">
        <v>15</v>
      </c>
      <c r="D6" s="6" t="s">
        <v>43</v>
      </c>
      <c r="E6" s="67"/>
      <c r="F6" s="67"/>
      <c r="G6" s="67"/>
      <c r="H6" s="73"/>
      <c r="I6" s="57"/>
      <c r="J6" s="57"/>
      <c r="K6" s="58"/>
    </row>
    <row r="7" spans="1:12" ht="16.5" thickTop="1" thickBot="1" x14ac:dyDescent="0.3">
      <c r="A7" s="67"/>
      <c r="B7" s="68"/>
      <c r="C7" s="13" t="s">
        <v>16</v>
      </c>
      <c r="D7" s="6" t="s">
        <v>47</v>
      </c>
      <c r="E7" s="67"/>
      <c r="F7" s="67"/>
      <c r="G7" s="67"/>
      <c r="H7" s="73"/>
      <c r="I7" s="57"/>
      <c r="J7" s="57"/>
      <c r="K7" s="58"/>
    </row>
    <row r="8" spans="1:12" ht="16.5" thickTop="1" thickBot="1" x14ac:dyDescent="0.3">
      <c r="A8" s="26"/>
      <c r="B8" s="27"/>
      <c r="C8" s="27"/>
      <c r="D8" s="27"/>
      <c r="E8" s="27"/>
      <c r="F8" s="27"/>
      <c r="G8" s="27"/>
      <c r="H8" s="27"/>
      <c r="I8" s="27"/>
      <c r="J8" s="27"/>
      <c r="K8" s="27"/>
    </row>
    <row r="9" spans="1:12" ht="20.100000000000001" customHeight="1" thickTop="1" thickBot="1" x14ac:dyDescent="0.3">
      <c r="A9" s="67">
        <v>2</v>
      </c>
      <c r="B9" s="68" t="s">
        <v>21</v>
      </c>
      <c r="C9" s="18" t="s">
        <v>46</v>
      </c>
      <c r="D9" s="22" t="s">
        <v>119</v>
      </c>
      <c r="E9" s="69">
        <v>2</v>
      </c>
      <c r="F9" s="67" t="s">
        <v>42</v>
      </c>
      <c r="G9" s="57">
        <v>0</v>
      </c>
      <c r="H9" s="73">
        <f>E9*G9</f>
        <v>0</v>
      </c>
      <c r="I9" s="57">
        <v>18</v>
      </c>
      <c r="J9" s="57">
        <f>I9*H9/100</f>
        <v>0</v>
      </c>
      <c r="K9" s="77">
        <f>J9+H9</f>
        <v>0</v>
      </c>
    </row>
    <row r="10" spans="1:12" ht="20.100000000000001" customHeight="1" thickTop="1" thickBot="1" x14ac:dyDescent="0.3">
      <c r="A10" s="67"/>
      <c r="B10" s="68"/>
      <c r="C10" s="13" t="s">
        <v>14</v>
      </c>
      <c r="D10" s="22" t="s">
        <v>108</v>
      </c>
      <c r="E10" s="69"/>
      <c r="F10" s="67"/>
      <c r="G10" s="57"/>
      <c r="H10" s="73"/>
      <c r="I10" s="57"/>
      <c r="J10" s="57"/>
      <c r="K10" s="77"/>
      <c r="L10" s="34"/>
    </row>
    <row r="11" spans="1:12" ht="31.5" customHeight="1" thickTop="1" thickBot="1" x14ac:dyDescent="0.3">
      <c r="A11" s="67"/>
      <c r="B11" s="68"/>
      <c r="C11" s="13" t="s">
        <v>17</v>
      </c>
      <c r="D11" s="19" t="s">
        <v>48</v>
      </c>
      <c r="E11" s="69"/>
      <c r="F11" s="67"/>
      <c r="G11" s="57"/>
      <c r="H11" s="73"/>
      <c r="I11" s="57"/>
      <c r="J11" s="57"/>
      <c r="K11" s="77"/>
    </row>
    <row r="12" spans="1:12" ht="20.100000000000001" customHeight="1" thickTop="1" thickBot="1" x14ac:dyDescent="0.3">
      <c r="A12" s="67"/>
      <c r="B12" s="68"/>
      <c r="C12" s="13" t="s">
        <v>18</v>
      </c>
      <c r="D12" s="6" t="s">
        <v>19</v>
      </c>
      <c r="E12" s="69"/>
      <c r="F12" s="67"/>
      <c r="G12" s="57"/>
      <c r="H12" s="73"/>
      <c r="I12" s="57"/>
      <c r="J12" s="57"/>
      <c r="K12" s="77"/>
    </row>
    <row r="13" spans="1:12" ht="20.100000000000001" customHeight="1" thickTop="1" thickBot="1" x14ac:dyDescent="0.3">
      <c r="A13" s="67"/>
      <c r="B13" s="68"/>
      <c r="C13" s="13" t="s">
        <v>16</v>
      </c>
      <c r="D13" s="6" t="s">
        <v>20</v>
      </c>
      <c r="E13" s="69"/>
      <c r="F13" s="67"/>
      <c r="G13" s="57"/>
      <c r="H13" s="73"/>
      <c r="I13" s="57"/>
      <c r="J13" s="57"/>
      <c r="K13" s="77"/>
    </row>
    <row r="14" spans="1:12" ht="16.5" thickTop="1" thickBot="1" x14ac:dyDescent="0.3">
      <c r="A14" s="28"/>
      <c r="B14" s="29"/>
      <c r="C14" s="29"/>
      <c r="D14" s="29"/>
      <c r="E14" s="29"/>
      <c r="F14" s="29"/>
      <c r="G14" s="29"/>
      <c r="H14" s="29"/>
      <c r="I14" s="29"/>
      <c r="J14" s="29"/>
      <c r="K14" s="29"/>
    </row>
    <row r="15" spans="1:12" ht="31.5" thickTop="1" thickBot="1" x14ac:dyDescent="0.3">
      <c r="A15" s="67">
        <v>3</v>
      </c>
      <c r="B15" s="68" t="s">
        <v>7</v>
      </c>
      <c r="C15" s="14" t="s">
        <v>17</v>
      </c>
      <c r="D15" s="5" t="s">
        <v>52</v>
      </c>
      <c r="E15" s="69">
        <v>2</v>
      </c>
      <c r="F15" s="67" t="s">
        <v>42</v>
      </c>
      <c r="G15" s="74"/>
      <c r="H15" s="79">
        <f>G15*E15</f>
        <v>0</v>
      </c>
      <c r="I15" s="78">
        <v>18</v>
      </c>
      <c r="J15" s="78">
        <f>I15*H15/100</f>
        <v>0</v>
      </c>
      <c r="K15" s="66">
        <f>J15+H15</f>
        <v>0</v>
      </c>
    </row>
    <row r="16" spans="1:12" ht="16.5" thickTop="1" thickBot="1" x14ac:dyDescent="0.3">
      <c r="A16" s="67"/>
      <c r="B16" s="68"/>
      <c r="C16" s="14" t="s">
        <v>14</v>
      </c>
      <c r="D16" s="17" t="s">
        <v>111</v>
      </c>
      <c r="E16" s="69"/>
      <c r="F16" s="67"/>
      <c r="G16" s="75"/>
      <c r="H16" s="79"/>
      <c r="I16" s="78"/>
      <c r="J16" s="78"/>
      <c r="K16" s="66"/>
    </row>
    <row r="17" spans="1:11" ht="16.5" thickTop="1" thickBot="1" x14ac:dyDescent="0.3">
      <c r="A17" s="67"/>
      <c r="B17" s="68"/>
      <c r="C17" s="16" t="s">
        <v>22</v>
      </c>
      <c r="D17" s="17" t="s">
        <v>49</v>
      </c>
      <c r="E17" s="69"/>
      <c r="F17" s="67"/>
      <c r="G17" s="75"/>
      <c r="H17" s="79"/>
      <c r="I17" s="78"/>
      <c r="J17" s="78"/>
      <c r="K17" s="66"/>
    </row>
    <row r="18" spans="1:11" ht="16.5" thickTop="1" thickBot="1" x14ac:dyDescent="0.3">
      <c r="A18" s="67"/>
      <c r="B18" s="68"/>
      <c r="C18" s="14" t="s">
        <v>16</v>
      </c>
      <c r="D18" s="17" t="s">
        <v>20</v>
      </c>
      <c r="E18" s="69"/>
      <c r="F18" s="67"/>
      <c r="G18" s="76"/>
      <c r="H18" s="79"/>
      <c r="I18" s="78"/>
      <c r="J18" s="78"/>
      <c r="K18" s="66"/>
    </row>
    <row r="19" spans="1:11" ht="16.5" thickTop="1" thickBot="1" x14ac:dyDescent="0.3">
      <c r="A19" s="28"/>
      <c r="B19" s="29"/>
      <c r="C19" s="29"/>
      <c r="D19" s="29"/>
      <c r="E19" s="29"/>
      <c r="F19" s="29"/>
      <c r="G19" s="29"/>
      <c r="H19" s="29"/>
      <c r="I19" s="29"/>
      <c r="J19" s="29"/>
      <c r="K19" s="29"/>
    </row>
    <row r="20" spans="1:11" ht="51" customHeight="1" thickTop="1" thickBot="1" x14ac:dyDescent="0.3">
      <c r="A20" s="67">
        <v>4</v>
      </c>
      <c r="B20" s="68" t="s">
        <v>23</v>
      </c>
      <c r="C20" s="14" t="s">
        <v>17</v>
      </c>
      <c r="D20" s="19" t="s">
        <v>50</v>
      </c>
      <c r="E20" s="67">
        <v>1</v>
      </c>
      <c r="F20" s="67" t="s">
        <v>5</v>
      </c>
      <c r="G20" s="74"/>
      <c r="H20" s="73">
        <f>G20*E20</f>
        <v>0</v>
      </c>
      <c r="I20" s="57">
        <v>18</v>
      </c>
      <c r="J20" s="57">
        <f>H20*I20/100</f>
        <v>0</v>
      </c>
      <c r="K20" s="58">
        <f>J20+H20</f>
        <v>0</v>
      </c>
    </row>
    <row r="21" spans="1:11" ht="16.5" thickTop="1" thickBot="1" x14ac:dyDescent="0.3">
      <c r="A21" s="67"/>
      <c r="B21" s="68"/>
      <c r="C21" s="14" t="s">
        <v>14</v>
      </c>
      <c r="D21" s="17" t="s">
        <v>54</v>
      </c>
      <c r="E21" s="67"/>
      <c r="F21" s="67"/>
      <c r="G21" s="75"/>
      <c r="H21" s="73"/>
      <c r="I21" s="57"/>
      <c r="J21" s="57"/>
      <c r="K21" s="58"/>
    </row>
    <row r="22" spans="1:11" ht="16.5" thickTop="1" thickBot="1" x14ac:dyDescent="0.3">
      <c r="A22" s="67"/>
      <c r="B22" s="68"/>
      <c r="C22" s="14" t="s">
        <v>15</v>
      </c>
      <c r="D22" s="19" t="s">
        <v>24</v>
      </c>
      <c r="E22" s="67"/>
      <c r="F22" s="67"/>
      <c r="G22" s="75"/>
      <c r="H22" s="73"/>
      <c r="I22" s="57"/>
      <c r="J22" s="57"/>
      <c r="K22" s="58"/>
    </row>
    <row r="23" spans="1:11" ht="109.5" customHeight="1" thickTop="1" thickBot="1" x14ac:dyDescent="0.3">
      <c r="A23" s="67"/>
      <c r="B23" s="68"/>
      <c r="C23" s="14" t="s">
        <v>25</v>
      </c>
      <c r="D23" s="5" t="s">
        <v>110</v>
      </c>
      <c r="E23" s="67"/>
      <c r="F23" s="67"/>
      <c r="G23" s="75"/>
      <c r="H23" s="73"/>
      <c r="I23" s="57"/>
      <c r="J23" s="57"/>
      <c r="K23" s="58"/>
    </row>
    <row r="24" spans="1:11" ht="46.5" thickTop="1" thickBot="1" x14ac:dyDescent="0.3">
      <c r="A24" s="67"/>
      <c r="B24" s="68"/>
      <c r="C24" s="14" t="s">
        <v>26</v>
      </c>
      <c r="D24" s="19" t="s">
        <v>64</v>
      </c>
      <c r="E24" s="67"/>
      <c r="F24" s="67"/>
      <c r="G24" s="76"/>
      <c r="H24" s="73"/>
      <c r="I24" s="57"/>
      <c r="J24" s="57"/>
      <c r="K24" s="58"/>
    </row>
    <row r="25" spans="1:11" ht="16.5" thickTop="1" thickBot="1" x14ac:dyDescent="0.3">
      <c r="A25" s="28"/>
      <c r="B25" s="29"/>
      <c r="C25" s="29"/>
      <c r="D25" s="29"/>
      <c r="E25" s="29"/>
      <c r="F25" s="29"/>
      <c r="G25" s="29"/>
      <c r="H25" s="29"/>
      <c r="I25" s="29"/>
      <c r="J25" s="29"/>
      <c r="K25" s="29"/>
    </row>
    <row r="26" spans="1:11" ht="31.5" thickTop="1" thickBot="1" x14ac:dyDescent="0.3">
      <c r="A26" s="67">
        <v>5</v>
      </c>
      <c r="B26" s="68" t="s">
        <v>27</v>
      </c>
      <c r="C26" s="14" t="s">
        <v>17</v>
      </c>
      <c r="D26" s="19" t="s">
        <v>107</v>
      </c>
      <c r="E26" s="67">
        <v>1</v>
      </c>
      <c r="F26" s="67" t="s">
        <v>5</v>
      </c>
      <c r="G26" s="67"/>
      <c r="H26" s="73">
        <f>E26*G26</f>
        <v>0</v>
      </c>
      <c r="I26" s="57">
        <v>18</v>
      </c>
      <c r="J26" s="57">
        <f>H26*I26/100</f>
        <v>0</v>
      </c>
      <c r="K26" s="58">
        <f>J26+H26</f>
        <v>0</v>
      </c>
    </row>
    <row r="27" spans="1:11" ht="16.5" thickTop="1" thickBot="1" x14ac:dyDescent="0.3">
      <c r="A27" s="67"/>
      <c r="B27" s="68"/>
      <c r="C27" s="14" t="s">
        <v>14</v>
      </c>
      <c r="D27" s="21" t="s">
        <v>106</v>
      </c>
      <c r="E27" s="67"/>
      <c r="F27" s="67"/>
      <c r="G27" s="67"/>
      <c r="H27" s="73"/>
      <c r="I27" s="57"/>
      <c r="J27" s="57"/>
      <c r="K27" s="58"/>
    </row>
    <row r="28" spans="1:11" ht="16.5" thickTop="1" thickBot="1" x14ac:dyDescent="0.3">
      <c r="A28" s="67"/>
      <c r="B28" s="68"/>
      <c r="C28" s="14" t="s">
        <v>15</v>
      </c>
      <c r="D28" s="21" t="s">
        <v>34</v>
      </c>
      <c r="E28" s="67"/>
      <c r="F28" s="67"/>
      <c r="G28" s="67"/>
      <c r="H28" s="73"/>
      <c r="I28" s="57"/>
      <c r="J28" s="57"/>
      <c r="K28" s="58"/>
    </row>
    <row r="29" spans="1:11" ht="46.5" thickTop="1" thickBot="1" x14ac:dyDescent="0.3">
      <c r="A29" s="67"/>
      <c r="B29" s="68"/>
      <c r="C29" s="14" t="s">
        <v>28</v>
      </c>
      <c r="D29" s="5" t="s">
        <v>65</v>
      </c>
      <c r="E29" s="67"/>
      <c r="F29" s="67"/>
      <c r="G29" s="67"/>
      <c r="H29" s="73"/>
      <c r="I29" s="57"/>
      <c r="J29" s="57"/>
      <c r="K29" s="58"/>
    </row>
    <row r="30" spans="1:11" ht="16.5" thickTop="1" thickBot="1" x14ac:dyDescent="0.3">
      <c r="A30" s="28"/>
      <c r="B30" s="29"/>
      <c r="C30" s="29"/>
      <c r="D30" s="29"/>
      <c r="E30" s="29"/>
      <c r="F30" s="29"/>
      <c r="G30" s="29"/>
      <c r="H30" s="29"/>
      <c r="I30" s="29"/>
      <c r="J30" s="29"/>
      <c r="K30" s="29"/>
    </row>
    <row r="31" spans="1:11" ht="36.75" customHeight="1" thickTop="1" thickBot="1" x14ac:dyDescent="0.3">
      <c r="A31" s="67">
        <v>6</v>
      </c>
      <c r="B31" s="68" t="s">
        <v>29</v>
      </c>
      <c r="C31" s="14" t="s">
        <v>17</v>
      </c>
      <c r="D31" s="19" t="s">
        <v>113</v>
      </c>
      <c r="E31" s="69">
        <v>1</v>
      </c>
      <c r="F31" s="69" t="s">
        <v>5</v>
      </c>
      <c r="G31" s="69"/>
      <c r="H31" s="70">
        <f>E31*G31</f>
        <v>0</v>
      </c>
      <c r="I31" s="71">
        <v>18</v>
      </c>
      <c r="J31" s="71">
        <f>H31*I31/100</f>
        <v>0</v>
      </c>
      <c r="K31" s="72">
        <f>J31+H31</f>
        <v>0</v>
      </c>
    </row>
    <row r="32" spans="1:11" ht="16.5" thickTop="1" thickBot="1" x14ac:dyDescent="0.3">
      <c r="A32" s="67"/>
      <c r="B32" s="68"/>
      <c r="C32" s="13" t="s">
        <v>14</v>
      </c>
      <c r="D32" s="6" t="s">
        <v>53</v>
      </c>
      <c r="E32" s="69"/>
      <c r="F32" s="69"/>
      <c r="G32" s="69"/>
      <c r="H32" s="70"/>
      <c r="I32" s="71"/>
      <c r="J32" s="71"/>
      <c r="K32" s="72"/>
    </row>
    <row r="33" spans="1:11" ht="16.5" thickTop="1" thickBot="1" x14ac:dyDescent="0.3">
      <c r="A33" s="28"/>
      <c r="B33" s="29"/>
      <c r="C33" s="29"/>
      <c r="D33" s="29"/>
      <c r="E33" s="29"/>
      <c r="F33" s="29"/>
      <c r="G33" s="29"/>
      <c r="H33" s="29"/>
      <c r="I33" s="29"/>
      <c r="J33" s="29"/>
      <c r="K33" s="29"/>
    </row>
    <row r="34" spans="1:11" ht="109.5" customHeight="1" thickTop="1" thickBot="1" x14ac:dyDescent="0.3">
      <c r="A34" s="67">
        <v>7</v>
      </c>
      <c r="B34" s="68" t="s">
        <v>30</v>
      </c>
      <c r="C34" s="14" t="s">
        <v>17</v>
      </c>
      <c r="D34" s="20" t="s">
        <v>51</v>
      </c>
      <c r="E34" s="67">
        <v>2</v>
      </c>
      <c r="F34" s="67" t="s">
        <v>5</v>
      </c>
      <c r="G34" s="67"/>
      <c r="H34" s="73">
        <f>G34*E34</f>
        <v>0</v>
      </c>
      <c r="I34" s="57">
        <v>18</v>
      </c>
      <c r="J34" s="57">
        <f>H34*I34/100</f>
        <v>0</v>
      </c>
      <c r="K34" s="66">
        <f>J34+H34</f>
        <v>0</v>
      </c>
    </row>
    <row r="35" spans="1:11" ht="16.5" thickTop="1" thickBot="1" x14ac:dyDescent="0.3">
      <c r="A35" s="67"/>
      <c r="B35" s="68"/>
      <c r="C35" s="13" t="s">
        <v>31</v>
      </c>
      <c r="D35" s="6" t="s">
        <v>32</v>
      </c>
      <c r="E35" s="67"/>
      <c r="F35" s="67"/>
      <c r="G35" s="67"/>
      <c r="H35" s="73"/>
      <c r="I35" s="57"/>
      <c r="J35" s="57"/>
      <c r="K35" s="66"/>
    </row>
    <row r="36" spans="1:11" ht="31.5" thickTop="1" thickBot="1" x14ac:dyDescent="0.3">
      <c r="A36" s="67"/>
      <c r="B36" s="68"/>
      <c r="C36" s="13" t="s">
        <v>33</v>
      </c>
      <c r="D36" s="6" t="s">
        <v>63</v>
      </c>
      <c r="E36" s="67"/>
      <c r="F36" s="67"/>
      <c r="G36" s="67"/>
      <c r="H36" s="73"/>
      <c r="I36" s="57"/>
      <c r="J36" s="57"/>
      <c r="K36" s="66"/>
    </row>
    <row r="37" spans="1:11" ht="16.5" thickTop="1" thickBot="1" x14ac:dyDescent="0.3">
      <c r="A37" s="28"/>
      <c r="B37" s="29"/>
      <c r="C37" s="29"/>
      <c r="D37" s="29"/>
      <c r="E37" s="29"/>
      <c r="F37" s="29"/>
      <c r="G37" s="29"/>
      <c r="H37" s="29"/>
      <c r="I37" s="29"/>
      <c r="J37" s="29"/>
      <c r="K37" s="29"/>
    </row>
    <row r="38" spans="1:11" ht="16.5" thickTop="1" thickBot="1" x14ac:dyDescent="0.3">
      <c r="A38" s="67">
        <v>8</v>
      </c>
      <c r="B38" s="68" t="s">
        <v>39</v>
      </c>
      <c r="C38" s="13" t="s">
        <v>17</v>
      </c>
      <c r="D38" s="19" t="s">
        <v>109</v>
      </c>
      <c r="E38" s="67">
        <v>1</v>
      </c>
      <c r="F38" s="67" t="s">
        <v>5</v>
      </c>
      <c r="G38" s="67"/>
      <c r="H38" s="57">
        <f>G38*E38</f>
        <v>0</v>
      </c>
      <c r="I38" s="57">
        <v>18</v>
      </c>
      <c r="J38" s="57">
        <f>H38*I38/100</f>
        <v>0</v>
      </c>
      <c r="K38" s="58">
        <f>J38+H38</f>
        <v>0</v>
      </c>
    </row>
    <row r="39" spans="1:11" ht="83.25" customHeight="1" thickTop="1" thickBot="1" x14ac:dyDescent="0.3">
      <c r="A39" s="67"/>
      <c r="B39" s="68"/>
      <c r="C39" s="13" t="s">
        <v>35</v>
      </c>
      <c r="D39" s="19" t="s">
        <v>118</v>
      </c>
      <c r="E39" s="67"/>
      <c r="F39" s="67"/>
      <c r="G39" s="67"/>
      <c r="H39" s="57"/>
      <c r="I39" s="57"/>
      <c r="J39" s="57"/>
      <c r="K39" s="58"/>
    </row>
    <row r="40" spans="1:11" ht="16.5" thickTop="1" thickBot="1" x14ac:dyDescent="0.3">
      <c r="A40" s="67"/>
      <c r="B40" s="68"/>
      <c r="C40" s="13" t="s">
        <v>36</v>
      </c>
      <c r="D40" s="6" t="s">
        <v>37</v>
      </c>
      <c r="E40" s="67"/>
      <c r="F40" s="67"/>
      <c r="G40" s="67"/>
      <c r="H40" s="57"/>
      <c r="I40" s="57"/>
      <c r="J40" s="57"/>
      <c r="K40" s="58"/>
    </row>
    <row r="41" spans="1:11" ht="16.5" thickTop="1" thickBot="1" x14ac:dyDescent="0.3">
      <c r="A41" s="67"/>
      <c r="B41" s="68"/>
      <c r="C41" s="13" t="s">
        <v>16</v>
      </c>
      <c r="D41" s="6" t="s">
        <v>38</v>
      </c>
      <c r="E41" s="67"/>
      <c r="F41" s="67"/>
      <c r="G41" s="67"/>
      <c r="H41" s="57"/>
      <c r="I41" s="57"/>
      <c r="J41" s="57"/>
      <c r="K41" s="58"/>
    </row>
    <row r="42" spans="1:11" s="47" customFormat="1" ht="16.5" thickTop="1" thickBot="1" x14ac:dyDescent="0.3">
      <c r="A42" s="26"/>
      <c r="B42" s="27"/>
      <c r="C42" s="27"/>
      <c r="D42" s="27"/>
      <c r="E42" s="27"/>
      <c r="F42" s="27"/>
      <c r="G42" s="27"/>
      <c r="H42" s="27"/>
      <c r="I42" s="27"/>
      <c r="J42" s="27"/>
      <c r="K42" s="27"/>
    </row>
    <row r="43" spans="1:11" ht="66.75" customHeight="1" thickTop="1" thickBot="1" x14ac:dyDescent="0.3">
      <c r="A43" s="31">
        <v>9</v>
      </c>
      <c r="B43" s="30" t="s">
        <v>41</v>
      </c>
      <c r="C43" s="13" t="s">
        <v>40</v>
      </c>
      <c r="D43" s="5" t="s">
        <v>55</v>
      </c>
      <c r="E43" s="37">
        <v>1</v>
      </c>
      <c r="F43" s="37" t="s">
        <v>5</v>
      </c>
      <c r="G43" s="37"/>
      <c r="H43" s="38">
        <f>G43*E43</f>
        <v>0</v>
      </c>
      <c r="I43" s="39">
        <v>16</v>
      </c>
      <c r="J43" s="39">
        <f>H43*I43/100</f>
        <v>0</v>
      </c>
      <c r="K43" s="40">
        <f>J43+H43</f>
        <v>0</v>
      </c>
    </row>
    <row r="44" spans="1:11" ht="28.5" customHeight="1" thickTop="1" thickBot="1" x14ac:dyDescent="0.35">
      <c r="A44" s="63" t="s">
        <v>62</v>
      </c>
      <c r="B44" s="64"/>
      <c r="C44" s="64"/>
      <c r="D44" s="64"/>
      <c r="E44" s="64"/>
      <c r="F44" s="64"/>
      <c r="G44" s="65"/>
      <c r="H44" s="25">
        <f>SUM(H4:H43)</f>
        <v>0</v>
      </c>
      <c r="I44" s="48"/>
      <c r="J44" s="49"/>
      <c r="K44" s="25">
        <f>SUM(K4:K43)</f>
        <v>0</v>
      </c>
    </row>
    <row r="45" spans="1:11" ht="15.75" thickTop="1" x14ac:dyDescent="0.25">
      <c r="A45" s="11"/>
      <c r="B45" s="11"/>
      <c r="C45" s="11"/>
      <c r="D45" s="11"/>
      <c r="E45" s="11"/>
      <c r="F45" s="11"/>
      <c r="G45" s="11"/>
      <c r="H45" s="12"/>
      <c r="I45" s="12"/>
      <c r="J45" s="12"/>
      <c r="K45" s="9"/>
    </row>
    <row r="46" spans="1:11" x14ac:dyDescent="0.25">
      <c r="A46" s="59" t="s">
        <v>44</v>
      </c>
      <c r="B46" s="59"/>
      <c r="C46" s="60"/>
      <c r="D46" s="60"/>
      <c r="E46" s="60"/>
      <c r="F46" s="60"/>
      <c r="G46" s="60"/>
      <c r="H46" s="60"/>
      <c r="I46" s="34"/>
      <c r="J46" s="34"/>
      <c r="K46" s="10"/>
    </row>
    <row r="47" spans="1:11" x14ac:dyDescent="0.25">
      <c r="A47" s="61" t="s">
        <v>6</v>
      </c>
      <c r="B47" s="61"/>
      <c r="C47" s="62"/>
      <c r="D47" s="62"/>
      <c r="E47" s="62"/>
      <c r="F47" s="62"/>
      <c r="G47" s="62"/>
      <c r="H47" s="62"/>
      <c r="K47" s="2"/>
    </row>
    <row r="48" spans="1:11" ht="15" customHeight="1" x14ac:dyDescent="0.25">
      <c r="A48" s="53" t="s">
        <v>12</v>
      </c>
      <c r="B48" s="53"/>
      <c r="C48" s="62"/>
      <c r="D48" s="62"/>
      <c r="E48" s="62"/>
      <c r="F48" s="62"/>
      <c r="G48" s="62"/>
      <c r="H48" s="62"/>
      <c r="K48" s="3"/>
    </row>
    <row r="49" spans="1:11" ht="15" customHeight="1" x14ac:dyDescent="0.25">
      <c r="A49" s="53" t="s">
        <v>9</v>
      </c>
      <c r="B49" s="53"/>
      <c r="C49" s="54"/>
      <c r="D49" s="54"/>
      <c r="E49" s="54"/>
      <c r="F49" s="54"/>
      <c r="G49" s="54"/>
      <c r="H49" s="54"/>
      <c r="I49" s="36"/>
      <c r="J49" s="36"/>
      <c r="K49" s="2"/>
    </row>
    <row r="50" spans="1:11" x14ac:dyDescent="0.25">
      <c r="A50" s="55" t="s">
        <v>10</v>
      </c>
      <c r="B50" s="55"/>
      <c r="C50" s="55"/>
      <c r="D50" s="55"/>
      <c r="E50" s="55"/>
      <c r="F50" s="55"/>
      <c r="G50" s="55"/>
      <c r="H50" s="55"/>
      <c r="I50" s="32"/>
      <c r="J50" s="32"/>
      <c r="K50" s="4"/>
    </row>
    <row r="51" spans="1:11" x14ac:dyDescent="0.25">
      <c r="A51" s="55" t="s">
        <v>56</v>
      </c>
      <c r="B51" s="55"/>
      <c r="C51" s="55"/>
      <c r="D51" s="55"/>
      <c r="E51" s="55"/>
      <c r="F51" s="55"/>
      <c r="G51" s="55"/>
      <c r="H51" s="55"/>
      <c r="I51" s="32"/>
      <c r="J51" s="32"/>
      <c r="K51" s="4"/>
    </row>
    <row r="52" spans="1:11" x14ac:dyDescent="0.25">
      <c r="A52" s="55" t="s">
        <v>57</v>
      </c>
      <c r="B52" s="55"/>
      <c r="C52" s="55"/>
      <c r="D52" s="55"/>
      <c r="E52" s="55"/>
      <c r="F52" s="55"/>
      <c r="G52" s="55"/>
      <c r="H52" s="55"/>
      <c r="I52" s="32"/>
      <c r="J52" s="32"/>
      <c r="K52" s="4"/>
    </row>
    <row r="53" spans="1:11" s="50" customFormat="1" x14ac:dyDescent="0.25">
      <c r="A53" s="55" t="s">
        <v>58</v>
      </c>
      <c r="B53" s="55"/>
      <c r="C53" s="55"/>
      <c r="D53" s="55"/>
      <c r="E53" s="55"/>
      <c r="F53" s="55"/>
      <c r="G53" s="55"/>
      <c r="H53" s="55"/>
      <c r="I53" s="51"/>
      <c r="J53" s="51"/>
      <c r="K53" s="4"/>
    </row>
    <row r="54" spans="1:11" x14ac:dyDescent="0.25">
      <c r="A54" s="55" t="s">
        <v>116</v>
      </c>
      <c r="B54" s="55"/>
      <c r="C54" s="55"/>
      <c r="D54" s="55"/>
      <c r="E54" s="55"/>
      <c r="F54" s="55"/>
      <c r="G54" s="55"/>
      <c r="H54" s="55"/>
      <c r="I54" s="32"/>
      <c r="J54" s="32"/>
      <c r="K54" s="4"/>
    </row>
    <row r="55" spans="1:11" x14ac:dyDescent="0.25">
      <c r="A55" s="56" t="s">
        <v>117</v>
      </c>
      <c r="B55" s="56"/>
      <c r="C55" s="56"/>
      <c r="D55" s="56"/>
      <c r="E55" s="56"/>
      <c r="F55" s="56"/>
      <c r="G55" s="56"/>
      <c r="H55" s="56"/>
      <c r="I55" s="33"/>
      <c r="J55" s="33"/>
      <c r="K55" s="4"/>
    </row>
    <row r="56" spans="1:11" x14ac:dyDescent="0.25">
      <c r="A56" s="52"/>
      <c r="B56" s="52"/>
      <c r="C56" s="52"/>
      <c r="D56" s="52"/>
      <c r="E56" s="1"/>
      <c r="F56" s="4"/>
      <c r="G56" s="1"/>
    </row>
  </sheetData>
  <mergeCells count="86">
    <mergeCell ref="A2:K2"/>
    <mergeCell ref="C3:D3"/>
    <mergeCell ref="A4:A7"/>
    <mergeCell ref="B4:B7"/>
    <mergeCell ref="E4:E7"/>
    <mergeCell ref="F4:F7"/>
    <mergeCell ref="G4:G7"/>
    <mergeCell ref="H4:H7"/>
    <mergeCell ref="I4:I7"/>
    <mergeCell ref="J4:J7"/>
    <mergeCell ref="K4:K7"/>
    <mergeCell ref="J20:J24"/>
    <mergeCell ref="K20:K24"/>
    <mergeCell ref="A9:A13"/>
    <mergeCell ref="B9:B13"/>
    <mergeCell ref="E9:E13"/>
    <mergeCell ref="F9:F13"/>
    <mergeCell ref="G9:G13"/>
    <mergeCell ref="H9:H13"/>
    <mergeCell ref="I9:I13"/>
    <mergeCell ref="J9:J13"/>
    <mergeCell ref="K9:K13"/>
    <mergeCell ref="I15:I18"/>
    <mergeCell ref="J15:J18"/>
    <mergeCell ref="K15:K18"/>
    <mergeCell ref="H15:H18"/>
    <mergeCell ref="A15:A18"/>
    <mergeCell ref="B15:B18"/>
    <mergeCell ref="E15:E18"/>
    <mergeCell ref="F15:F18"/>
    <mergeCell ref="G15:G18"/>
    <mergeCell ref="I20:I24"/>
    <mergeCell ref="G20:G24"/>
    <mergeCell ref="A20:A24"/>
    <mergeCell ref="B20:B24"/>
    <mergeCell ref="E20:E24"/>
    <mergeCell ref="F20:F24"/>
    <mergeCell ref="H34:H36"/>
    <mergeCell ref="H26:H29"/>
    <mergeCell ref="H20:H24"/>
    <mergeCell ref="A26:A29"/>
    <mergeCell ref="B26:B29"/>
    <mergeCell ref="E26:E29"/>
    <mergeCell ref="F26:F29"/>
    <mergeCell ref="G26:G29"/>
    <mergeCell ref="K26:K29"/>
    <mergeCell ref="A31:A32"/>
    <mergeCell ref="B31:B32"/>
    <mergeCell ref="E31:E32"/>
    <mergeCell ref="F31:F32"/>
    <mergeCell ref="G31:G32"/>
    <mergeCell ref="H31:H32"/>
    <mergeCell ref="I31:I32"/>
    <mergeCell ref="J31:J32"/>
    <mergeCell ref="K31:K32"/>
    <mergeCell ref="I26:I29"/>
    <mergeCell ref="J26:J29"/>
    <mergeCell ref="A48:H48"/>
    <mergeCell ref="I34:I36"/>
    <mergeCell ref="J34:J36"/>
    <mergeCell ref="K34:K36"/>
    <mergeCell ref="A38:A41"/>
    <mergeCell ref="B38:B41"/>
    <mergeCell ref="E38:E41"/>
    <mergeCell ref="F38:F41"/>
    <mergeCell ref="G38:G41"/>
    <mergeCell ref="H38:H41"/>
    <mergeCell ref="I38:I41"/>
    <mergeCell ref="A34:A36"/>
    <mergeCell ref="B34:B36"/>
    <mergeCell ref="E34:E36"/>
    <mergeCell ref="F34:F36"/>
    <mergeCell ref="G34:G36"/>
    <mergeCell ref="J38:J41"/>
    <mergeCell ref="K38:K41"/>
    <mergeCell ref="A46:H46"/>
    <mergeCell ref="A47:H47"/>
    <mergeCell ref="A44:G44"/>
    <mergeCell ref="A56:D56"/>
    <mergeCell ref="A49:H49"/>
    <mergeCell ref="A50:H50"/>
    <mergeCell ref="A51:H51"/>
    <mergeCell ref="A52:H52"/>
    <mergeCell ref="A54:H54"/>
    <mergeCell ref="A55:H55"/>
    <mergeCell ref="A53:H53"/>
  </mergeCells>
  <pageMargins left="0.25" right="0.25" top="0.75" bottom="0.75" header="0.3" footer="0.3"/>
  <pageSetup scale="70" orientation="landscape" horizontalDpi="4294967295" verticalDpi="4294967295" r:id="rId1"/>
  <rowBreaks count="1" manualBreakCount="1">
    <brk id="2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608A-B7F0-4D68-8E0C-D0B054B7A4D9}">
  <dimension ref="A2:I36"/>
  <sheetViews>
    <sheetView workbookViewId="0">
      <selection activeCell="B18" sqref="B18:C18"/>
    </sheetView>
  </sheetViews>
  <sheetFormatPr defaultRowHeight="15" x14ac:dyDescent="0.25"/>
  <cols>
    <col min="1" max="1" width="23.28515625" style="41" customWidth="1"/>
    <col min="2" max="2" width="61" style="41" customWidth="1"/>
    <col min="3" max="3" width="11.7109375" style="41" customWidth="1"/>
    <col min="4" max="4" width="25.85546875" style="41" customWidth="1"/>
    <col min="5" max="16384" width="9.140625" style="41"/>
  </cols>
  <sheetData>
    <row r="2" spans="1:9" ht="15.75" thickBot="1" x14ac:dyDescent="0.3"/>
    <row r="3" spans="1:9" ht="20.25" thickTop="1" thickBot="1" x14ac:dyDescent="0.3">
      <c r="C3" s="42" t="s">
        <v>66</v>
      </c>
    </row>
    <row r="4" spans="1:9" ht="16.5" thickTop="1" thickBot="1" x14ac:dyDescent="0.3"/>
    <row r="5" spans="1:9" ht="21" thickTop="1" thickBot="1" x14ac:dyDescent="0.3">
      <c r="A5" s="90" t="s">
        <v>67</v>
      </c>
      <c r="B5" s="90"/>
      <c r="C5" s="90"/>
    </row>
    <row r="6" spans="1:9" ht="16.5" thickTop="1" thickBot="1" x14ac:dyDescent="0.3">
      <c r="A6" s="43" t="s">
        <v>68</v>
      </c>
      <c r="B6" s="87" t="s">
        <v>69</v>
      </c>
      <c r="C6" s="87"/>
    </row>
    <row r="7" spans="1:9" ht="16.5" thickTop="1" thickBot="1" x14ac:dyDescent="0.3">
      <c r="A7" s="44" t="s">
        <v>70</v>
      </c>
      <c r="B7" s="89" t="s">
        <v>71</v>
      </c>
      <c r="C7" s="89"/>
      <c r="E7" s="35"/>
      <c r="F7" s="35"/>
    </row>
    <row r="8" spans="1:9" ht="16.5" thickTop="1" thickBot="1" x14ac:dyDescent="0.3">
      <c r="A8" s="44" t="s">
        <v>72</v>
      </c>
      <c r="B8" s="88" t="s">
        <v>73</v>
      </c>
      <c r="C8" s="89"/>
    </row>
    <row r="9" spans="1:9" ht="16.5" thickTop="1" thickBot="1" x14ac:dyDescent="0.3">
      <c r="A9" s="44" t="s">
        <v>74</v>
      </c>
      <c r="B9" s="89" t="s">
        <v>75</v>
      </c>
      <c r="C9" s="89"/>
    </row>
    <row r="10" spans="1:9" ht="16.5" thickTop="1" thickBot="1" x14ac:dyDescent="0.3">
      <c r="A10" s="44" t="s">
        <v>76</v>
      </c>
      <c r="B10" s="89" t="s">
        <v>77</v>
      </c>
      <c r="C10" s="89"/>
    </row>
    <row r="11" spans="1:9" ht="16.5" thickTop="1" thickBot="1" x14ac:dyDescent="0.3">
      <c r="A11" s="45" t="s">
        <v>78</v>
      </c>
      <c r="B11" s="88" t="s">
        <v>79</v>
      </c>
      <c r="C11" s="89"/>
    </row>
    <row r="12" spans="1:9" ht="16.5" thickTop="1" thickBot="1" x14ac:dyDescent="0.3">
      <c r="A12" s="91"/>
      <c r="B12" s="91"/>
      <c r="C12" s="91"/>
    </row>
    <row r="13" spans="1:9" ht="16.5" thickTop="1" thickBot="1" x14ac:dyDescent="0.3">
      <c r="A13" s="46" t="s">
        <v>80</v>
      </c>
      <c r="B13" s="93" t="s">
        <v>81</v>
      </c>
      <c r="C13" s="92"/>
    </row>
    <row r="14" spans="1:9" ht="16.5" thickTop="1" thickBot="1" x14ac:dyDescent="0.3">
      <c r="A14" s="44" t="s">
        <v>71</v>
      </c>
      <c r="B14" s="89" t="s">
        <v>71</v>
      </c>
      <c r="C14" s="89"/>
    </row>
    <row r="15" spans="1:9" ht="16.5" thickTop="1" thickBot="1" x14ac:dyDescent="0.3">
      <c r="A15" s="44" t="s">
        <v>72</v>
      </c>
      <c r="B15" s="89" t="s">
        <v>72</v>
      </c>
      <c r="C15" s="89"/>
      <c r="I15" s="35"/>
    </row>
    <row r="16" spans="1:9" ht="16.5" thickTop="1" thickBot="1" x14ac:dyDescent="0.3">
      <c r="A16" s="45" t="s">
        <v>82</v>
      </c>
      <c r="B16" s="88" t="s">
        <v>83</v>
      </c>
      <c r="C16" s="89"/>
    </row>
    <row r="17" spans="1:3" ht="16.5" thickTop="1" thickBot="1" x14ac:dyDescent="0.3">
      <c r="A17" s="45" t="s">
        <v>84</v>
      </c>
      <c r="B17" s="88" t="s">
        <v>85</v>
      </c>
      <c r="C17" s="89"/>
    </row>
    <row r="18" spans="1:3" ht="16.5" thickTop="1" thickBot="1" x14ac:dyDescent="0.3">
      <c r="A18" s="45" t="s">
        <v>86</v>
      </c>
      <c r="B18" s="89" t="s">
        <v>87</v>
      </c>
      <c r="C18" s="89"/>
    </row>
    <row r="19" spans="1:3" ht="16.5" thickTop="1" thickBot="1" x14ac:dyDescent="0.3">
      <c r="A19" s="91"/>
      <c r="B19" s="91"/>
      <c r="C19" s="91"/>
    </row>
    <row r="20" spans="1:3" ht="21" thickTop="1" thickBot="1" x14ac:dyDescent="0.3">
      <c r="A20" s="90" t="s">
        <v>88</v>
      </c>
      <c r="B20" s="90"/>
      <c r="C20" s="90"/>
    </row>
    <row r="21" spans="1:3" ht="16.5" thickTop="1" thickBot="1" x14ac:dyDescent="0.3">
      <c r="A21" s="43" t="s">
        <v>89</v>
      </c>
      <c r="B21" s="87" t="s">
        <v>90</v>
      </c>
      <c r="C21" s="87"/>
    </row>
    <row r="22" spans="1:3" ht="16.5" thickTop="1" thickBot="1" x14ac:dyDescent="0.3">
      <c r="A22" s="44" t="s">
        <v>71</v>
      </c>
      <c r="B22" s="89" t="s">
        <v>91</v>
      </c>
      <c r="C22" s="89"/>
    </row>
    <row r="23" spans="1:3" ht="16.5" thickTop="1" thickBot="1" x14ac:dyDescent="0.3">
      <c r="A23" s="44" t="s">
        <v>92</v>
      </c>
      <c r="B23" s="89" t="s">
        <v>93</v>
      </c>
      <c r="C23" s="89"/>
    </row>
    <row r="24" spans="1:3" ht="16.5" thickTop="1" thickBot="1" x14ac:dyDescent="0.3">
      <c r="A24" s="44" t="s">
        <v>75</v>
      </c>
      <c r="B24" s="92" t="s">
        <v>90</v>
      </c>
      <c r="C24" s="92"/>
    </row>
    <row r="25" spans="1:3" ht="16.5" thickTop="1" thickBot="1" x14ac:dyDescent="0.3">
      <c r="A25" s="44" t="s">
        <v>77</v>
      </c>
      <c r="B25" s="89" t="s">
        <v>94</v>
      </c>
      <c r="C25" s="89"/>
    </row>
    <row r="26" spans="1:3" ht="26.25" customHeight="1" thickTop="1" thickBot="1" x14ac:dyDescent="0.3">
      <c r="A26" s="44" t="s">
        <v>95</v>
      </c>
      <c r="B26" s="89" t="s">
        <v>96</v>
      </c>
      <c r="C26" s="89"/>
    </row>
    <row r="27" spans="1:3" ht="16.5" thickTop="1" thickBot="1" x14ac:dyDescent="0.3">
      <c r="A27" s="91"/>
      <c r="B27" s="91"/>
      <c r="C27" s="91"/>
    </row>
    <row r="28" spans="1:3" ht="21" thickTop="1" thickBot="1" x14ac:dyDescent="0.3">
      <c r="A28" s="90" t="s">
        <v>97</v>
      </c>
      <c r="B28" s="90"/>
      <c r="C28" s="90"/>
    </row>
    <row r="29" spans="1:3" ht="16.5" thickTop="1" thickBot="1" x14ac:dyDescent="0.3">
      <c r="A29" s="43" t="s">
        <v>98</v>
      </c>
      <c r="B29" s="86" t="s">
        <v>99</v>
      </c>
      <c r="C29" s="87"/>
    </row>
    <row r="30" spans="1:3" ht="16.5" thickTop="1" thickBot="1" x14ac:dyDescent="0.3">
      <c r="A30" s="44" t="s">
        <v>71</v>
      </c>
      <c r="B30" s="88" t="s">
        <v>100</v>
      </c>
      <c r="C30" s="89"/>
    </row>
    <row r="31" spans="1:3" ht="16.5" thickTop="1" thickBot="1" x14ac:dyDescent="0.3">
      <c r="A31" s="45" t="s">
        <v>101</v>
      </c>
      <c r="B31" s="88" t="s">
        <v>102</v>
      </c>
      <c r="C31" s="89"/>
    </row>
    <row r="32" spans="1:3" ht="44.25" thickTop="1" thickBot="1" x14ac:dyDescent="0.3">
      <c r="A32" s="45" t="s">
        <v>103</v>
      </c>
      <c r="B32" s="88" t="s">
        <v>104</v>
      </c>
      <c r="C32" s="89"/>
    </row>
    <row r="33" spans="1:4" ht="16.5" thickTop="1" thickBot="1" x14ac:dyDescent="0.3">
      <c r="A33" s="45"/>
      <c r="B33" s="89" t="s">
        <v>105</v>
      </c>
      <c r="C33" s="89"/>
    </row>
    <row r="34" spans="1:4" ht="15.75" thickTop="1" x14ac:dyDescent="0.25"/>
    <row r="35" spans="1:4" x14ac:dyDescent="0.25">
      <c r="A35" s="85"/>
      <c r="B35" s="85"/>
      <c r="C35" s="85"/>
      <c r="D35" s="85"/>
    </row>
    <row r="36" spans="1:4" x14ac:dyDescent="0.25">
      <c r="A36" s="85"/>
      <c r="B36" s="85"/>
      <c r="C36" s="85"/>
      <c r="D36" s="85"/>
    </row>
  </sheetData>
  <mergeCells count="31">
    <mergeCell ref="B16:C16"/>
    <mergeCell ref="A5:C5"/>
    <mergeCell ref="B6:C6"/>
    <mergeCell ref="B7:C7"/>
    <mergeCell ref="B8:C8"/>
    <mergeCell ref="B9:C9"/>
    <mergeCell ref="B10:C10"/>
    <mergeCell ref="B11:C11"/>
    <mergeCell ref="A12:C12"/>
    <mergeCell ref="B13:C13"/>
    <mergeCell ref="B14:C14"/>
    <mergeCell ref="B15:C15"/>
    <mergeCell ref="A28:C28"/>
    <mergeCell ref="B17:C17"/>
    <mergeCell ref="B18:C18"/>
    <mergeCell ref="A19:C19"/>
    <mergeCell ref="A20:C20"/>
    <mergeCell ref="B21:C21"/>
    <mergeCell ref="B22:C22"/>
    <mergeCell ref="B23:C23"/>
    <mergeCell ref="B24:C24"/>
    <mergeCell ref="B25:C25"/>
    <mergeCell ref="B26:C26"/>
    <mergeCell ref="A27:C27"/>
    <mergeCell ref="A36:D36"/>
    <mergeCell ref="B29:C29"/>
    <mergeCell ref="B30:C30"/>
    <mergeCell ref="B31:C31"/>
    <mergeCell ref="B32:C32"/>
    <mergeCell ref="B33:C33"/>
    <mergeCell ref="A35:D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Annex A</vt:lpstr>
    </vt:vector>
  </TitlesOfParts>
  <Company>ITG/HO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ITG</dc:creator>
  <cp:lastModifiedBy>Atif Khan</cp:lastModifiedBy>
  <cp:lastPrinted>2025-09-16T13:07:43Z</cp:lastPrinted>
  <dcterms:created xsi:type="dcterms:W3CDTF">2015-04-23T10:42:07Z</dcterms:created>
  <dcterms:modified xsi:type="dcterms:W3CDTF">2026-03-24T08:04:44Z</dcterms:modified>
</cp:coreProperties>
</file>